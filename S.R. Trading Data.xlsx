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R trading data\"/>
    </mc:Choice>
  </mc:AlternateContent>
  <xr:revisionPtr revIDLastSave="0" documentId="13_ncr:1_{A6DEC15E-2EE9-45A8-8EB6-4BC6288558C7}" xr6:coauthVersionLast="47" xr6:coauthVersionMax="47" xr10:uidLastSave="{00000000-0000-0000-0000-000000000000}"/>
  <bookViews>
    <workbookView xWindow="-108" yWindow="-108" windowWidth="23256" windowHeight="12456" tabRatio="765" firstSheet="1" activeTab="1" xr2:uid="{A03C5680-67E0-4C04-8E13-9E3FDEB4D4C4}"/>
  </bookViews>
  <sheets>
    <sheet name="Purchase" sheetId="1" r:id="rId1"/>
    <sheet name="Sales" sheetId="2" r:id="rId2"/>
    <sheet name="Descriptive Statistics" sheetId="11" r:id="rId3"/>
    <sheet name="Category Analysis" sheetId="4" r:id="rId4"/>
    <sheet name="Product Analysis" sheetId="7" r:id="rId5"/>
    <sheet name="Monthly Trend" sheetId="8" r:id="rId6"/>
    <sheet name="Sales Product Aanalysis " sheetId="12" r:id="rId7"/>
    <sheet name="Customer Analysis" sheetId="9" r:id="rId8"/>
    <sheet name="Purchase vs Sales" sheetId="10" r:id="rId9"/>
  </sheets>
  <definedNames>
    <definedName name="_xlcn.WorksheetConnection_SalesA4M581" hidden="1">Sales!$A$4:$M$58</definedName>
  </definedNames>
  <calcPr calcId="191029"/>
  <pivotCaches>
    <pivotCache cacheId="0" r:id="rId10"/>
    <pivotCache cacheId="1" r:id="rId11"/>
    <pivotCache cacheId="2" r:id="rId12"/>
    <pivotCache cacheId="3" r:id="rId13"/>
    <pivotCache cacheId="4" r:id="rId14"/>
    <pivotCache cacheId="5" r:id="rId15"/>
    <pivotCache cacheId="6" r:id="rId1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ales!$A$4:$M$58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5" i="10" l="1"/>
  <c r="G41" i="10"/>
  <c r="G42" i="10"/>
  <c r="G43" i="10"/>
  <c r="G44" i="10"/>
  <c r="G40" i="10"/>
  <c r="F44" i="10"/>
  <c r="F43" i="10"/>
  <c r="F42" i="10"/>
  <c r="F41" i="10"/>
  <c r="F40" i="10"/>
  <c r="F45" i="10" s="1"/>
  <c r="H7" i="8"/>
  <c r="E23" i="10"/>
  <c r="F23" i="10" s="1"/>
  <c r="E22" i="10"/>
  <c r="F22" i="10" s="1"/>
  <c r="E21" i="10"/>
  <c r="F21" i="10" s="1"/>
  <c r="E20" i="10"/>
  <c r="F20" i="10" s="1"/>
  <c r="E19" i="10"/>
  <c r="E24" i="10" s="1"/>
  <c r="F24" i="10" s="1"/>
  <c r="G7" i="10"/>
  <c r="G12" i="10" s="1"/>
  <c r="H12" i="10" s="1"/>
  <c r="H8" i="9"/>
  <c r="G8" i="10"/>
  <c r="H8" i="10" s="1"/>
  <c r="G9" i="10"/>
  <c r="H9" i="10" s="1"/>
  <c r="G10" i="10"/>
  <c r="H10" i="10" s="1"/>
  <c r="G11" i="10"/>
  <c r="H11" i="10" s="1"/>
  <c r="H5" i="9"/>
  <c r="H7" i="9"/>
  <c r="H6" i="9"/>
  <c r="H8" i="8"/>
  <c r="G7" i="8"/>
  <c r="G8" i="8"/>
  <c r="G6" i="8"/>
  <c r="G9" i="8" s="1"/>
  <c r="D5" i="7" a="1"/>
  <c r="D5" i="7" s="1"/>
  <c r="F48" i="7"/>
  <c r="F146" i="7"/>
  <c r="G104" i="7" s="1"/>
  <c r="D103" i="7" a="1"/>
  <c r="D103" i="7" s="1"/>
  <c r="E19" i="4"/>
  <c r="M28" i="1"/>
  <c r="M43" i="1"/>
  <c r="M44" i="1"/>
  <c r="L40" i="1"/>
  <c r="L38" i="1"/>
  <c r="L22" i="1"/>
  <c r="L26" i="1"/>
  <c r="M26" i="1" s="1"/>
  <c r="L27" i="1"/>
  <c r="M27" i="1" s="1"/>
  <c r="L10" i="1"/>
  <c r="M10" i="1" s="1"/>
  <c r="L11" i="1"/>
  <c r="M11" i="1" s="1"/>
  <c r="L12" i="1"/>
  <c r="M12" i="1" s="1"/>
  <c r="L13" i="1"/>
  <c r="M13" i="1" s="1"/>
  <c r="L6" i="1"/>
  <c r="M6" i="1" s="1"/>
  <c r="L7" i="1"/>
  <c r="M7" i="1" s="1"/>
  <c r="L5" i="1"/>
  <c r="M5" i="1" s="1"/>
  <c r="K58" i="2"/>
  <c r="L58" i="2"/>
  <c r="M58" i="2" s="1"/>
  <c r="K57" i="2"/>
  <c r="L57" i="2" s="1"/>
  <c r="K56" i="2"/>
  <c r="L56" i="2" s="1"/>
  <c r="K55" i="2"/>
  <c r="L55" i="2"/>
  <c r="M55" i="2"/>
  <c r="K54" i="2"/>
  <c r="L54" i="2"/>
  <c r="M54" i="2" s="1"/>
  <c r="K53" i="2"/>
  <c r="L53" i="2"/>
  <c r="M53" i="2"/>
  <c r="K52" i="2"/>
  <c r="L52" i="2"/>
  <c r="M52" i="2" s="1"/>
  <c r="K51" i="2"/>
  <c r="K50" i="2"/>
  <c r="L50" i="2"/>
  <c r="M50" i="2"/>
  <c r="K49" i="2"/>
  <c r="L49" i="2" s="1"/>
  <c r="K48" i="2"/>
  <c r="L48" i="2"/>
  <c r="M48" i="2"/>
  <c r="K47" i="2"/>
  <c r="L47" i="2"/>
  <c r="M47" i="2"/>
  <c r="K46" i="2"/>
  <c r="L46" i="2"/>
  <c r="M46" i="2"/>
  <c r="K45" i="2"/>
  <c r="L45" i="2" s="1"/>
  <c r="K44" i="2"/>
  <c r="L44" i="2" s="1"/>
  <c r="K43" i="2"/>
  <c r="L43" i="2"/>
  <c r="K42" i="2"/>
  <c r="M42" i="2" s="1"/>
  <c r="L42" i="2"/>
  <c r="K41" i="2"/>
  <c r="L41" i="2"/>
  <c r="M41" i="2"/>
  <c r="K40" i="2"/>
  <c r="L40" i="2"/>
  <c r="M40" i="2"/>
  <c r="K39" i="2"/>
  <c r="L39" i="2"/>
  <c r="M39" i="2"/>
  <c r="K38" i="2"/>
  <c r="L38" i="2"/>
  <c r="M38" i="2"/>
  <c r="K37" i="2"/>
  <c r="L37" i="2"/>
  <c r="M37" i="2"/>
  <c r="K36" i="2"/>
  <c r="L36" i="2"/>
  <c r="M36" i="2"/>
  <c r="K35" i="2"/>
  <c r="L35" i="2"/>
  <c r="M35" i="2"/>
  <c r="K34" i="2"/>
  <c r="L34" i="2"/>
  <c r="M34" i="2"/>
  <c r="K33" i="2"/>
  <c r="L33" i="2" s="1"/>
  <c r="M33" i="2" s="1"/>
  <c r="K32" i="2"/>
  <c r="L32" i="2"/>
  <c r="M32" i="2"/>
  <c r="K31" i="2"/>
  <c r="L31" i="2"/>
  <c r="M31" i="2"/>
  <c r="K30" i="2"/>
  <c r="L30" i="2" s="1"/>
  <c r="K29" i="2"/>
  <c r="L29" i="2" s="1"/>
  <c r="M29" i="2" s="1"/>
  <c r="K28" i="2"/>
  <c r="L28" i="2" s="1"/>
  <c r="M28" i="2" s="1"/>
  <c r="K27" i="2"/>
  <c r="L27" i="2" s="1"/>
  <c r="M27" i="2" s="1"/>
  <c r="K26" i="2"/>
  <c r="L26" i="2" s="1"/>
  <c r="M26" i="2" s="1"/>
  <c r="K25" i="2"/>
  <c r="L25" i="2" s="1"/>
  <c r="K24" i="2"/>
  <c r="L24" i="2" s="1"/>
  <c r="M24" i="2" s="1"/>
  <c r="K23" i="2"/>
  <c r="L23" i="2" s="1"/>
  <c r="M23" i="2" s="1"/>
  <c r="K22" i="2"/>
  <c r="L22" i="2" s="1"/>
  <c r="M22" i="2" s="1"/>
  <c r="K21" i="2"/>
  <c r="L21" i="2" s="1"/>
  <c r="M21" i="2" s="1"/>
  <c r="K20" i="2"/>
  <c r="L20" i="2" s="1"/>
  <c r="M20" i="2" s="1"/>
  <c r="K19" i="2"/>
  <c r="L19" i="2"/>
  <c r="M19" i="2"/>
  <c r="K18" i="2"/>
  <c r="L18" i="2" s="1"/>
  <c r="K17" i="2"/>
  <c r="L17" i="2" s="1"/>
  <c r="M17" i="2" s="1"/>
  <c r="K16" i="2"/>
  <c r="K15" i="2"/>
  <c r="L15" i="2" s="1"/>
  <c r="M15" i="2" s="1"/>
  <c r="K14" i="2"/>
  <c r="L14" i="2" s="1"/>
  <c r="L9" i="2"/>
  <c r="L10" i="2"/>
  <c r="L11" i="2"/>
  <c r="K6" i="2"/>
  <c r="L6" i="2" s="1"/>
  <c r="M6" i="2" s="1"/>
  <c r="K7" i="2"/>
  <c r="L7" i="2" s="1"/>
  <c r="M7" i="2" s="1"/>
  <c r="K8" i="2"/>
  <c r="K9" i="2"/>
  <c r="K10" i="2"/>
  <c r="K11" i="2"/>
  <c r="K12" i="2"/>
  <c r="K13" i="2"/>
  <c r="K5" i="2"/>
  <c r="L5" i="2" s="1"/>
  <c r="M5" i="2" s="1"/>
  <c r="K53" i="1"/>
  <c r="L53" i="1" s="1"/>
  <c r="M53" i="1" s="1"/>
  <c r="K52" i="1"/>
  <c r="L52" i="1" s="1"/>
  <c r="M52" i="1" s="1"/>
  <c r="K51" i="1"/>
  <c r="L51" i="1" s="1"/>
  <c r="M51" i="1" s="1"/>
  <c r="K50" i="1"/>
  <c r="L50" i="1" s="1"/>
  <c r="M50" i="1" s="1"/>
  <c r="K49" i="1"/>
  <c r="L49" i="1" s="1"/>
  <c r="K48" i="1"/>
  <c r="L48" i="1" s="1"/>
  <c r="K47" i="1"/>
  <c r="L47" i="1" s="1"/>
  <c r="K46" i="1"/>
  <c r="L46" i="1" s="1"/>
  <c r="K45" i="1"/>
  <c r="L45" i="1" s="1"/>
  <c r="K44" i="1"/>
  <c r="L44" i="1" s="1"/>
  <c r="K43" i="1"/>
  <c r="L43" i="1" s="1"/>
  <c r="K42" i="1"/>
  <c r="K41" i="1"/>
  <c r="L41" i="1" s="1"/>
  <c r="K40" i="1"/>
  <c r="M40" i="1" s="1"/>
  <c r="K39" i="1"/>
  <c r="L39" i="1" s="1"/>
  <c r="K38" i="1"/>
  <c r="M38" i="1" s="1"/>
  <c r="K35" i="1"/>
  <c r="L35" i="1" s="1"/>
  <c r="M35" i="1" s="1"/>
  <c r="K34" i="1"/>
  <c r="L34" i="1" s="1"/>
  <c r="M34" i="1" s="1"/>
  <c r="K30" i="1"/>
  <c r="L30" i="1" s="1"/>
  <c r="K29" i="1"/>
  <c r="K37" i="1"/>
  <c r="L37" i="1" s="1"/>
  <c r="M37" i="1" s="1"/>
  <c r="K36" i="1"/>
  <c r="L36" i="1" s="1"/>
  <c r="M36" i="1" s="1"/>
  <c r="K33" i="1"/>
  <c r="L33" i="1" s="1"/>
  <c r="K32" i="1"/>
  <c r="L32" i="1" s="1"/>
  <c r="K31" i="1"/>
  <c r="K28" i="1"/>
  <c r="L28" i="1" s="1"/>
  <c r="K27" i="1"/>
  <c r="K26" i="1"/>
  <c r="K25" i="1"/>
  <c r="L25" i="1" s="1"/>
  <c r="K24" i="1"/>
  <c r="L24" i="1" s="1"/>
  <c r="K23" i="1"/>
  <c r="L23" i="1" s="1"/>
  <c r="K22" i="1"/>
  <c r="M22" i="1" s="1"/>
  <c r="K21" i="1"/>
  <c r="L21" i="1" s="1"/>
  <c r="M21" i="1" s="1"/>
  <c r="K20" i="1"/>
  <c r="L20" i="1" s="1"/>
  <c r="M20" i="1" s="1"/>
  <c r="K19" i="1"/>
  <c r="L19" i="1" s="1"/>
  <c r="M19" i="1" s="1"/>
  <c r="K18" i="1"/>
  <c r="L18" i="1" s="1"/>
  <c r="M18" i="1" s="1"/>
  <c r="K17" i="1"/>
  <c r="L17" i="1" s="1"/>
  <c r="K16" i="1"/>
  <c r="L16" i="1" s="1"/>
  <c r="K15" i="1"/>
  <c r="L15" i="1" s="1"/>
  <c r="K14" i="1"/>
  <c r="K9" i="1"/>
  <c r="K10" i="1"/>
  <c r="K11" i="1"/>
  <c r="K12" i="1"/>
  <c r="K13" i="1"/>
  <c r="K8" i="1"/>
  <c r="L8" i="1" s="1"/>
  <c r="F19" i="10" l="1"/>
  <c r="H7" i="10"/>
  <c r="G36" i="7"/>
  <c r="G5" i="7"/>
  <c r="H5" i="7" s="1"/>
  <c r="G37" i="7"/>
  <c r="G6" i="7"/>
  <c r="G38" i="7"/>
  <c r="G7" i="7"/>
  <c r="G39" i="7"/>
  <c r="G8" i="7"/>
  <c r="G41" i="7"/>
  <c r="G25" i="7"/>
  <c r="G26" i="7"/>
  <c r="G27" i="7"/>
  <c r="G44" i="7"/>
  <c r="G28" i="7"/>
  <c r="G29" i="7"/>
  <c r="G14" i="7"/>
  <c r="G47" i="7"/>
  <c r="G16" i="7"/>
  <c r="G32" i="7"/>
  <c r="G17" i="7"/>
  <c r="G33" i="7"/>
  <c r="G40" i="7"/>
  <c r="G18" i="7"/>
  <c r="G34" i="7"/>
  <c r="G20" i="7"/>
  <c r="G21" i="7"/>
  <c r="G22" i="7"/>
  <c r="G23" i="7"/>
  <c r="G24" i="7"/>
  <c r="G9" i="7"/>
  <c r="G42" i="7"/>
  <c r="G10" i="7"/>
  <c r="G43" i="7"/>
  <c r="G11" i="7"/>
  <c r="G12" i="7"/>
  <c r="G45" i="7"/>
  <c r="G13" i="7"/>
  <c r="G46" i="7"/>
  <c r="G30" i="7"/>
  <c r="G15" i="7"/>
  <c r="G31" i="7"/>
  <c r="G19" i="7"/>
  <c r="G35" i="7"/>
  <c r="G135" i="7"/>
  <c r="G134" i="7"/>
  <c r="G133" i="7"/>
  <c r="G132" i="7"/>
  <c r="G119" i="7"/>
  <c r="G118" i="7"/>
  <c r="G117" i="7"/>
  <c r="G116" i="7"/>
  <c r="G131" i="7"/>
  <c r="G115" i="7"/>
  <c r="G103" i="7"/>
  <c r="G130" i="7"/>
  <c r="G114" i="7"/>
  <c r="G145" i="7"/>
  <c r="G129" i="7"/>
  <c r="G113" i="7"/>
  <c r="G144" i="7"/>
  <c r="G128" i="7"/>
  <c r="G112" i="7"/>
  <c r="G143" i="7"/>
  <c r="G127" i="7"/>
  <c r="G111" i="7"/>
  <c r="G142" i="7"/>
  <c r="G126" i="7"/>
  <c r="G110" i="7"/>
  <c r="G141" i="7"/>
  <c r="G125" i="7"/>
  <c r="G109" i="7"/>
  <c r="G140" i="7"/>
  <c r="G124" i="7"/>
  <c r="G108" i="7"/>
  <c r="G139" i="7"/>
  <c r="G123" i="7"/>
  <c r="G107" i="7"/>
  <c r="G138" i="7"/>
  <c r="G122" i="7"/>
  <c r="G106" i="7"/>
  <c r="G137" i="7"/>
  <c r="G121" i="7"/>
  <c r="G105" i="7"/>
  <c r="G136" i="7"/>
  <c r="G120" i="7"/>
  <c r="M11" i="2"/>
  <c r="M10" i="2"/>
  <c r="M9" i="2"/>
  <c r="L8" i="2"/>
  <c r="M8" i="2" s="1"/>
  <c r="L13" i="2"/>
  <c r="M13" i="2" s="1"/>
  <c r="M56" i="2"/>
  <c r="L12" i="2"/>
  <c r="M12" i="2" s="1"/>
  <c r="M18" i="2"/>
  <c r="L16" i="2"/>
  <c r="M16" i="2" s="1"/>
  <c r="M44" i="2"/>
  <c r="M57" i="2"/>
  <c r="M43" i="2"/>
  <c r="L51" i="2"/>
  <c r="M51" i="2" s="1"/>
  <c r="M49" i="1"/>
  <c r="M17" i="1"/>
  <c r="M48" i="1"/>
  <c r="M32" i="1"/>
  <c r="M30" i="1"/>
  <c r="L9" i="1"/>
  <c r="M9" i="1" s="1"/>
  <c r="M24" i="1"/>
  <c r="M39" i="1"/>
  <c r="M23" i="1"/>
  <c r="M33" i="1"/>
  <c r="M16" i="1"/>
  <c r="M47" i="1"/>
  <c r="M15" i="1"/>
  <c r="M46" i="1"/>
  <c r="M45" i="1"/>
  <c r="M41" i="1"/>
  <c r="M25" i="1"/>
  <c r="M8" i="1"/>
  <c r="L42" i="1"/>
  <c r="M42" i="1" s="1"/>
  <c r="L31" i="1"/>
  <c r="M31" i="1" s="1"/>
  <c r="L14" i="1"/>
  <c r="M14" i="1" s="1"/>
  <c r="L29" i="1"/>
  <c r="M29" i="1" s="1"/>
  <c r="M49" i="2"/>
  <c r="M45" i="2"/>
  <c r="M30" i="2"/>
  <c r="M25" i="2"/>
  <c r="M14" i="2"/>
  <c r="H6" i="7" l="1"/>
  <c r="H7" i="7" s="1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H32" i="7" s="1"/>
  <c r="H33" i="7" s="1"/>
  <c r="H34" i="7" s="1"/>
  <c r="H35" i="7" s="1"/>
  <c r="H36" i="7" s="1"/>
  <c r="H37" i="7" s="1"/>
  <c r="H38" i="7" s="1"/>
  <c r="H39" i="7" s="1"/>
  <c r="H40" i="7" s="1"/>
  <c r="H41" i="7" s="1"/>
  <c r="H42" i="7" s="1"/>
  <c r="H43" i="7" s="1"/>
  <c r="H44" i="7" s="1"/>
  <c r="H45" i="7" s="1"/>
  <c r="H46" i="7" s="1"/>
  <c r="H47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A53CA0-D17B-45E4-8117-90967E2CBB3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4593FCF-C966-4E67-BED2-F896A8FE279C}" name="WorksheetConnection_Sales!$A$4:$M$58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alesA4M58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<sst xmlns="http://schemas.openxmlformats.org/spreadsheetml/2006/main" count="923" uniqueCount="179">
  <si>
    <t>PURCHASES DATA OF S.R. TRADING CO.</t>
  </si>
  <si>
    <t xml:space="preserve">DATE </t>
  </si>
  <si>
    <t>Order No.</t>
  </si>
  <si>
    <t>Invoice No.</t>
  </si>
  <si>
    <t>Party Name</t>
  </si>
  <si>
    <t>Place of supply</t>
  </si>
  <si>
    <t xml:space="preserve">Description of good </t>
  </si>
  <si>
    <t>HSN/SAC Code</t>
  </si>
  <si>
    <t>Price</t>
  </si>
  <si>
    <t>Amount</t>
  </si>
  <si>
    <t>Total Amount</t>
  </si>
  <si>
    <t>Madhu Creations</t>
  </si>
  <si>
    <t>Chandni Chowk</t>
  </si>
  <si>
    <t>Chamundi PT. -930</t>
  </si>
  <si>
    <t>CH. Brush- 1190</t>
  </si>
  <si>
    <t>Manjula - 1390</t>
  </si>
  <si>
    <t>Grand Total</t>
  </si>
  <si>
    <t>Radhika Prints</t>
  </si>
  <si>
    <t>Chamundi PT (Kaani print)</t>
  </si>
  <si>
    <t>Chamundi PT (Fancy)</t>
  </si>
  <si>
    <t>Chamundi Brush</t>
  </si>
  <si>
    <t>Chamundi Gota Brush</t>
  </si>
  <si>
    <t>Chamundi Gota ari</t>
  </si>
  <si>
    <t>Chamundi Gota paloo</t>
  </si>
  <si>
    <t>MS/24-25/2022</t>
  </si>
  <si>
    <t>Malhotrason</t>
  </si>
  <si>
    <t>Saree MS-54</t>
  </si>
  <si>
    <t>Saree MS-55</t>
  </si>
  <si>
    <t>Saree MS-56</t>
  </si>
  <si>
    <t>Saree MS-14</t>
  </si>
  <si>
    <t>Discount(5%)</t>
  </si>
  <si>
    <t>1295/2024-25</t>
  </si>
  <si>
    <t>1151/2024-25</t>
  </si>
  <si>
    <t>Chamundi Shaded (Fir Print)</t>
  </si>
  <si>
    <t xml:space="preserve">Chamundi print </t>
  </si>
  <si>
    <t>1136/2024-25</t>
  </si>
  <si>
    <t>Chamundi print (Flower)</t>
  </si>
  <si>
    <t>Chamundi Shaded</t>
  </si>
  <si>
    <t>Chamundi print HW</t>
  </si>
  <si>
    <t>Chamundi print HW (Shaded dye nagin)</t>
  </si>
  <si>
    <t>Chiffon Plain Brush (Handwork)</t>
  </si>
  <si>
    <t>1115/2024-25</t>
  </si>
  <si>
    <t>Chamundi Mukesh</t>
  </si>
  <si>
    <t>Chamundi Mukesh Shaded</t>
  </si>
  <si>
    <t>Chamundi Brush HW</t>
  </si>
  <si>
    <t>NB/24-25/947</t>
  </si>
  <si>
    <t>Nikhar Bandhani</t>
  </si>
  <si>
    <t>Saree</t>
  </si>
  <si>
    <t>Kadambini Enterprises</t>
  </si>
  <si>
    <t>Sarees</t>
  </si>
  <si>
    <t>Sant Lal &amp; Sons</t>
  </si>
  <si>
    <t>Spray Brush Handwork</t>
  </si>
  <si>
    <t>MS/24-25/1860</t>
  </si>
  <si>
    <t>Saree Nylon MS-157</t>
  </si>
  <si>
    <t xml:space="preserve">Sarees </t>
  </si>
  <si>
    <t>Nylon Chinon Piping(kaani print)</t>
  </si>
  <si>
    <t>Nylon Chiffon Jaq border</t>
  </si>
  <si>
    <t>Chamundi HW (Kery butti jaal)</t>
  </si>
  <si>
    <t>Chamundi HW (Kasab buta)</t>
  </si>
  <si>
    <t>Chamundi HW (Khajoor buta)</t>
  </si>
  <si>
    <t>Chamundi HW (Kery buta)</t>
  </si>
  <si>
    <t>Chamundi HW (paan buta)</t>
  </si>
  <si>
    <t>Chamundi HW (cutdan br)</t>
  </si>
  <si>
    <t>MS/24-25/1697</t>
  </si>
  <si>
    <t>Saree MS-114</t>
  </si>
  <si>
    <t>Saree MS-115</t>
  </si>
  <si>
    <t>Saree MS-130</t>
  </si>
  <si>
    <t>Saree Nylon MS-129</t>
  </si>
  <si>
    <t>SALES DATA OF S.R. TRADING CO.</t>
  </si>
  <si>
    <t>Pamecha cloth centre</t>
  </si>
  <si>
    <t>Madhya pradesh</t>
  </si>
  <si>
    <t xml:space="preserve">Discount </t>
  </si>
  <si>
    <t>Shyam Silk Store</t>
  </si>
  <si>
    <t>Jodhpur</t>
  </si>
  <si>
    <t>Kanchan A Mewara</t>
  </si>
  <si>
    <t>Lucky Silk Store</t>
  </si>
  <si>
    <t xml:space="preserve">Saree </t>
  </si>
  <si>
    <t>Saree (P441 Vivanta)</t>
  </si>
  <si>
    <t>Saree (EBR)</t>
  </si>
  <si>
    <t>Ch. Brush-1190</t>
  </si>
  <si>
    <t>Manjula -1390</t>
  </si>
  <si>
    <t>Chamundi (SEQN JAAL)</t>
  </si>
  <si>
    <t>Chamundi (SEQN BUTTI)</t>
  </si>
  <si>
    <t>Chamundi Border</t>
  </si>
  <si>
    <t>Chamundi print</t>
  </si>
  <si>
    <t>Row Labels</t>
  </si>
  <si>
    <t xml:space="preserve">Category </t>
  </si>
  <si>
    <t>Handwork</t>
  </si>
  <si>
    <t>Others</t>
  </si>
  <si>
    <t>Brush</t>
  </si>
  <si>
    <t>Print</t>
  </si>
  <si>
    <t>Woven</t>
  </si>
  <si>
    <t>Quantity(Pcs.)</t>
  </si>
  <si>
    <t>Quantity (Pcs.)</t>
  </si>
  <si>
    <t>Category</t>
  </si>
  <si>
    <t>Sum of Quantity (Pcs.)</t>
  </si>
  <si>
    <t>Sum of Total Amount</t>
  </si>
  <si>
    <t>Unit Sold</t>
  </si>
  <si>
    <t>Revenue</t>
  </si>
  <si>
    <t xml:space="preserve"> </t>
  </si>
  <si>
    <t>Revenue (₹)</t>
  </si>
  <si>
    <t>Average Price (₹)</t>
  </si>
  <si>
    <t>Revenue %</t>
  </si>
  <si>
    <t>Total</t>
  </si>
  <si>
    <t>Count of Category</t>
  </si>
  <si>
    <t>Product Description</t>
  </si>
  <si>
    <t>Units Sold</t>
  </si>
  <si>
    <t>TOTAL</t>
  </si>
  <si>
    <t>Rank</t>
  </si>
  <si>
    <t>Cumulative %</t>
  </si>
  <si>
    <t xml:space="preserve">PRODUCT-WISE ANALYSIS – S.R. TRADING CO. </t>
  </si>
  <si>
    <t>Jan</t>
  </si>
  <si>
    <t>Feb</t>
  </si>
  <si>
    <t>Mar</t>
  </si>
  <si>
    <t>Trasactions</t>
  </si>
  <si>
    <t>Month</t>
  </si>
  <si>
    <t>Transactions</t>
  </si>
  <si>
    <t>Avg Revenue/Txn (₹)</t>
  </si>
  <si>
    <t>MoM Revenue Growth</t>
  </si>
  <si>
    <t>-</t>
  </si>
  <si>
    <t xml:space="preserve">MONTHLY SALES </t>
  </si>
  <si>
    <t>Customer name</t>
  </si>
  <si>
    <t>Revenue Share</t>
  </si>
  <si>
    <t>CUSTOMER-WISE ANALYSIS</t>
  </si>
  <si>
    <t>Purchase Quantity(Pcs.)</t>
  </si>
  <si>
    <t>Sales Quantity (Pcs.)</t>
  </si>
  <si>
    <t>PURCHASE vs SALES COMPARISON</t>
  </si>
  <si>
    <t>CATEGORY-WISE PURCHASE vs SALES COMPARISON</t>
  </si>
  <si>
    <t>Qty Purchased</t>
  </si>
  <si>
    <t>Qty Sold</t>
  </si>
  <si>
    <t>Purchase Cost</t>
  </si>
  <si>
    <t>Sales Revenue</t>
  </si>
  <si>
    <t>Purchase Cost (₹)</t>
  </si>
  <si>
    <t>Sales Revenue (₹)</t>
  </si>
  <si>
    <t>Gross Profit</t>
  </si>
  <si>
    <t>CATEGORY-WISE ANALYSIS</t>
  </si>
  <si>
    <t>Mean</t>
  </si>
  <si>
    <t>Median</t>
  </si>
  <si>
    <t>Mode</t>
  </si>
  <si>
    <t>Standard Deviation</t>
  </si>
  <si>
    <t>Minimum</t>
  </si>
  <si>
    <t>Maximum</t>
  </si>
  <si>
    <t>Sum</t>
  </si>
  <si>
    <t>Count</t>
  </si>
  <si>
    <t>Confidence Level(95.0%)</t>
  </si>
  <si>
    <t>Purchase</t>
  </si>
  <si>
    <t>DESCRIPTIVE STATISTICS</t>
  </si>
  <si>
    <t>mean</t>
  </si>
  <si>
    <t xml:space="preserve">Std deviation </t>
  </si>
  <si>
    <t>Min</t>
  </si>
  <si>
    <t>Max</t>
  </si>
  <si>
    <t>Qty</t>
  </si>
  <si>
    <t>Q1 (25%)</t>
  </si>
  <si>
    <t>Q3 (75%)</t>
  </si>
  <si>
    <t>Sales</t>
  </si>
  <si>
    <t>Unit Purchased</t>
  </si>
  <si>
    <t>Metric</t>
  </si>
  <si>
    <t>SALES DATA</t>
  </si>
  <si>
    <t>PURCHASE DATA</t>
  </si>
  <si>
    <t>Quantity Sold (Pcs.)</t>
  </si>
  <si>
    <t>Description of Goods</t>
  </si>
  <si>
    <t>GRAND TOTAL</t>
  </si>
  <si>
    <t>ABC Class</t>
  </si>
  <si>
    <t>A</t>
  </si>
  <si>
    <t>B</t>
  </si>
  <si>
    <t>C</t>
  </si>
  <si>
    <t>Gross Margin %</t>
  </si>
  <si>
    <t xml:space="preserve">Sales Product Aanalysis </t>
  </si>
  <si>
    <t>Risk Level</t>
  </si>
  <si>
    <t>HIGH</t>
  </si>
  <si>
    <t>MEDIUM</t>
  </si>
  <si>
    <t>LOW</t>
  </si>
  <si>
    <t>Qty Difference</t>
  </si>
  <si>
    <t>Print (Class A)</t>
  </si>
  <si>
    <t>Others (Class A)</t>
  </si>
  <si>
    <t>Handwork (Class A)</t>
  </si>
  <si>
    <t>Brush (Class B)</t>
  </si>
  <si>
    <t>Woven (Class C)</t>
  </si>
  <si>
    <t>CATEGORY-WISE PURCHASE vs SALES COMPARISON (ABC CLASS)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</si>
</sst>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&quot;₹&quot;\ #,##0.00"/>
    <numFmt numFmtId="165" formatCode="0.0%"/>
  </numFmts>
  <fonts count="17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3"/>
      <color rgb="FFFFFFFF"/>
      <name val="Arial"/>
      <family val="2"/>
    </font>
    <font>
      <sz val="24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9"/>
      <color rgb="FFFFFFFF"/>
      <name val="Arial"/>
    </font>
    <font>
      <b/>
      <sz val="10"/>
      <color rgb="FF375623"/>
      <name val="Arial"/>
    </font>
    <font>
      <b/>
      <sz val="10"/>
      <color rgb="FFC55A11"/>
      <name val="Arial"/>
    </font>
    <font>
      <b/>
      <sz val="10"/>
      <color rgb="FFC00000"/>
      <name val="Arial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2C3E50"/>
        <bgColor rgb="FF1A5276"/>
      </patternFill>
    </fill>
    <fill>
      <patternFill patternType="solid">
        <fgColor rgb="FF1A5276"/>
        <bgColor rgb="FF2C3E5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F330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/>
      <right style="thin">
        <color rgb="FFAAAAAA"/>
      </right>
      <top/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3" borderId="0" applyNumberFormat="0" applyBorder="0" applyAlignment="0" applyProtection="0"/>
  </cellStyleXfs>
  <cellXfs count="75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/>
    <xf numFmtId="1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0" fillId="0" borderId="0" xfId="0" applyNumberFormat="1"/>
    <xf numFmtId="10" fontId="0" fillId="0" borderId="0" xfId="0" applyNumberFormat="1"/>
    <xf numFmtId="9" fontId="0" fillId="0" borderId="0" xfId="2" applyFont="1"/>
    <xf numFmtId="0" fontId="7" fillId="4" borderId="1" xfId="0" applyFont="1" applyFill="1" applyBorder="1" applyAlignment="1">
      <alignment horizontal="center" vertical="center"/>
    </xf>
    <xf numFmtId="44" fontId="0" fillId="0" borderId="0" xfId="1" applyFont="1"/>
    <xf numFmtId="44" fontId="0" fillId="0" borderId="0" xfId="0" applyNumberFormat="1"/>
    <xf numFmtId="165" fontId="0" fillId="0" borderId="0" xfId="2" applyNumberFormat="1" applyFont="1"/>
    <xf numFmtId="165" fontId="0" fillId="0" borderId="0" xfId="0" applyNumberFormat="1"/>
    <xf numFmtId="0" fontId="5" fillId="3" borderId="0" xfId="3"/>
    <xf numFmtId="44" fontId="5" fillId="3" borderId="0" xfId="3" applyNumberFormat="1"/>
    <xf numFmtId="165" fontId="5" fillId="3" borderId="0" xfId="3" applyNumberFormat="1"/>
    <xf numFmtId="165" fontId="0" fillId="0" borderId="0" xfId="2" applyNumberFormat="1" applyFont="1" applyAlignment="1">
      <alignment horizontal="center"/>
    </xf>
    <xf numFmtId="44" fontId="7" fillId="4" borderId="1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2" xfId="0" applyBorder="1"/>
    <xf numFmtId="2" fontId="0" fillId="0" borderId="0" xfId="0" applyNumberFormat="1"/>
    <xf numFmtId="2" fontId="0" fillId="0" borderId="2" xfId="0" applyNumberFormat="1" applyBorder="1"/>
    <xf numFmtId="9" fontId="0" fillId="0" borderId="0" xfId="0" applyNumberFormat="1" applyAlignment="1">
      <alignment horizontal="center"/>
    </xf>
    <xf numFmtId="0" fontId="9" fillId="0" borderId="0" xfId="0" applyFont="1"/>
    <xf numFmtId="0" fontId="10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0" fontId="0" fillId="7" borderId="3" xfId="0" applyNumberFormat="1" applyFill="1" applyBorder="1" applyAlignment="1">
      <alignment horizontal="center"/>
    </xf>
    <xf numFmtId="10" fontId="0" fillId="6" borderId="3" xfId="0" applyNumberFormat="1" applyFill="1" applyBorder="1" applyAlignment="1">
      <alignment horizontal="center"/>
    </xf>
    <xf numFmtId="10" fontId="0" fillId="7" borderId="4" xfId="0" applyNumberFormat="1" applyFill="1" applyBorder="1" applyAlignment="1">
      <alignment horizontal="center"/>
    </xf>
    <xf numFmtId="9" fontId="7" fillId="4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2" fontId="0" fillId="0" borderId="0" xfId="1" applyNumberFormat="1" applyFont="1" applyAlignment="1">
      <alignment horizontal="center"/>
    </xf>
    <xf numFmtId="164" fontId="7" fillId="4" borderId="1" xfId="1" applyNumberFormat="1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9" fontId="0" fillId="0" borderId="0" xfId="2" applyFont="1" applyAlignment="1">
      <alignment horizontal="center"/>
    </xf>
    <xf numFmtId="9" fontId="7" fillId="4" borderId="1" xfId="2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 wrapText="1"/>
    </xf>
    <xf numFmtId="0" fontId="12" fillId="9" borderId="6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4" fillId="11" borderId="6" xfId="0" applyFont="1" applyFill="1" applyBorder="1" applyAlignment="1">
      <alignment horizontal="center" vertical="center"/>
    </xf>
    <xf numFmtId="0" fontId="0" fillId="7" borderId="7" xfId="0" applyFill="1" applyBorder="1"/>
    <xf numFmtId="0" fontId="0" fillId="6" borderId="7" xfId="0" applyFill="1" applyBorder="1"/>
    <xf numFmtId="0" fontId="0" fillId="7" borderId="9" xfId="0" applyFill="1" applyBorder="1"/>
    <xf numFmtId="0" fontId="7" fillId="4" borderId="11" xfId="0" applyFont="1" applyFill="1" applyBorder="1" applyAlignment="1">
      <alignment horizontal="center" vertical="center"/>
    </xf>
    <xf numFmtId="165" fontId="6" fillId="12" borderId="0" xfId="2" applyNumberFormat="1" applyFont="1" applyFill="1" applyAlignment="1">
      <alignment horizontal="center"/>
    </xf>
    <xf numFmtId="0" fontId="6" fillId="13" borderId="0" xfId="0" applyFont="1" applyFill="1" applyAlignment="1">
      <alignment horizontal="center"/>
    </xf>
    <xf numFmtId="0" fontId="6" fillId="14" borderId="0" xfId="0" applyFont="1" applyFill="1" applyAlignment="1">
      <alignment horizontal="center"/>
    </xf>
    <xf numFmtId="9" fontId="0" fillId="0" borderId="0" xfId="0" applyNumberFormat="1"/>
    <xf numFmtId="0" fontId="7" fillId="4" borderId="12" xfId="0" applyFont="1" applyFill="1" applyBorder="1" applyAlignment="1">
      <alignment horizontal="center" vertical="center"/>
    </xf>
    <xf numFmtId="164" fontId="0" fillId="7" borderId="8" xfId="0" applyNumberFormat="1" applyFill="1" applyBorder="1"/>
    <xf numFmtId="164" fontId="0" fillId="6" borderId="8" xfId="0" applyNumberFormat="1" applyFill="1" applyBorder="1"/>
    <xf numFmtId="164" fontId="0" fillId="7" borderId="10" xfId="0" applyNumberFormat="1" applyFill="1" applyBorder="1"/>
    <xf numFmtId="165" fontId="15" fillId="0" borderId="0" xfId="2" applyNumberFormat="1" applyFont="1" applyAlignment="1">
      <alignment horizontal="center"/>
    </xf>
    <xf numFmtId="165" fontId="16" fillId="0" borderId="0" xfId="2" applyNumberFormat="1" applyFont="1" applyAlignment="1">
      <alignment horizontal="center"/>
    </xf>
    <xf numFmtId="0" fontId="8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</cellXfs>
  <cellStyles count="4">
    <cellStyle name="20% - Accent2" xfId="3" builtinId="34"/>
    <cellStyle name="Currency" xfId="1" builtinId="4"/>
    <cellStyle name="Normal" xfId="0" builtinId="0"/>
    <cellStyle name="Percent" xfId="2" builtinId="5"/>
  </cellStyles>
  <dxfs count="6">
    <dxf>
      <numFmt numFmtId="14" formatCode="0.00%"/>
    </dxf>
    <dxf>
      <numFmt numFmtId="164" formatCode="&quot;₹&quot;\ #,##0.00"/>
    </dxf>
    <dxf>
      <numFmt numFmtId="164" formatCode="&quot;₹&quot;\ #,##0.00"/>
    </dxf>
    <dxf>
      <border outline="0">
        <bottom style="thin">
          <color rgb="FFAAAAA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A5276"/>
          <bgColor rgb="FF2C3E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numFmt numFmtId="164" formatCode="&quot;₹&quot;\ #,##0.00"/>
    </dxf>
  </dxfs>
  <tableStyles count="0" defaultTableStyle="TableStyleMedium2" defaultPivotStyle="PivotStyleLight16"/>
  <colors>
    <mruColors>
      <color rgb="FFFF3300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Sales!$I$4</c:f>
              <c:strCache>
                <c:ptCount val="1"/>
                <c:pt idx="0">
                  <c:v>Quantity (Pcs.)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Sales!$I$5:$I$58</c:f>
              <c:numCache>
                <c:formatCode>General</c:formatCode>
                <c:ptCount val="54"/>
                <c:pt idx="0">
                  <c:v>7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6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9</c:v>
                </c:pt>
                <c:pt idx="11">
                  <c:v>23</c:v>
                </c:pt>
                <c:pt idx="12">
                  <c:v>20</c:v>
                </c:pt>
                <c:pt idx="13">
                  <c:v>12</c:v>
                </c:pt>
                <c:pt idx="14">
                  <c:v>4</c:v>
                </c:pt>
                <c:pt idx="15">
                  <c:v>18</c:v>
                </c:pt>
                <c:pt idx="16">
                  <c:v>6</c:v>
                </c:pt>
                <c:pt idx="17">
                  <c:v>115</c:v>
                </c:pt>
                <c:pt idx="18">
                  <c:v>15</c:v>
                </c:pt>
                <c:pt idx="19">
                  <c:v>34</c:v>
                </c:pt>
                <c:pt idx="20">
                  <c:v>10</c:v>
                </c:pt>
                <c:pt idx="21">
                  <c:v>9</c:v>
                </c:pt>
                <c:pt idx="22">
                  <c:v>9</c:v>
                </c:pt>
                <c:pt idx="23">
                  <c:v>13</c:v>
                </c:pt>
                <c:pt idx="24">
                  <c:v>6</c:v>
                </c:pt>
                <c:pt idx="25">
                  <c:v>14</c:v>
                </c:pt>
                <c:pt idx="26">
                  <c:v>65</c:v>
                </c:pt>
                <c:pt idx="27">
                  <c:v>51</c:v>
                </c:pt>
                <c:pt idx="28">
                  <c:v>14</c:v>
                </c:pt>
                <c:pt idx="29">
                  <c:v>17</c:v>
                </c:pt>
                <c:pt idx="30">
                  <c:v>22</c:v>
                </c:pt>
                <c:pt idx="31">
                  <c:v>31</c:v>
                </c:pt>
                <c:pt idx="32">
                  <c:v>14</c:v>
                </c:pt>
                <c:pt idx="33">
                  <c:v>7</c:v>
                </c:pt>
                <c:pt idx="34">
                  <c:v>7</c:v>
                </c:pt>
                <c:pt idx="35">
                  <c:v>6</c:v>
                </c:pt>
                <c:pt idx="36">
                  <c:v>6</c:v>
                </c:pt>
                <c:pt idx="37">
                  <c:v>36</c:v>
                </c:pt>
                <c:pt idx="38">
                  <c:v>17</c:v>
                </c:pt>
                <c:pt idx="39">
                  <c:v>14</c:v>
                </c:pt>
                <c:pt idx="40">
                  <c:v>6</c:v>
                </c:pt>
                <c:pt idx="41">
                  <c:v>6</c:v>
                </c:pt>
                <c:pt idx="42">
                  <c:v>32</c:v>
                </c:pt>
                <c:pt idx="43">
                  <c:v>10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2</c:v>
                </c:pt>
                <c:pt idx="48">
                  <c:v>2</c:v>
                </c:pt>
                <c:pt idx="49">
                  <c:v>5</c:v>
                </c:pt>
                <c:pt idx="50">
                  <c:v>3</c:v>
                </c:pt>
                <c:pt idx="51">
                  <c:v>3</c:v>
                </c:pt>
                <c:pt idx="52">
                  <c:v>13</c:v>
                </c:pt>
                <c:pt idx="5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E6-4183-A9AD-263CCE25946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390466272"/>
        <c:axId val="390457152"/>
      </c:lineChart>
      <c:catAx>
        <c:axId val="39046627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457152"/>
        <c:crosses val="autoZero"/>
        <c:auto val="1"/>
        <c:lblAlgn val="ctr"/>
        <c:lblOffset val="100"/>
        <c:noMultiLvlLbl val="0"/>
      </c:catAx>
      <c:valAx>
        <c:axId val="390457152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46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Sales!$J$4</c:f>
              <c:strCache>
                <c:ptCount val="1"/>
                <c:pt idx="0">
                  <c:v>Price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val>
            <c:numRef>
              <c:f>Sales!$J$5:$J$58</c:f>
              <c:numCache>
                <c:formatCode>General</c:formatCode>
                <c:ptCount val="54"/>
                <c:pt idx="0">
                  <c:v>465</c:v>
                </c:pt>
                <c:pt idx="1">
                  <c:v>595</c:v>
                </c:pt>
                <c:pt idx="2">
                  <c:v>695</c:v>
                </c:pt>
                <c:pt idx="3">
                  <c:v>400</c:v>
                </c:pt>
                <c:pt idx="4">
                  <c:v>425</c:v>
                </c:pt>
                <c:pt idx="5">
                  <c:v>500</c:v>
                </c:pt>
                <c:pt idx="6">
                  <c:v>875</c:v>
                </c:pt>
                <c:pt idx="7">
                  <c:v>750</c:v>
                </c:pt>
                <c:pt idx="8">
                  <c:v>695</c:v>
                </c:pt>
                <c:pt idx="9">
                  <c:v>850</c:v>
                </c:pt>
                <c:pt idx="10">
                  <c:v>900</c:v>
                </c:pt>
                <c:pt idx="11">
                  <c:v>900</c:v>
                </c:pt>
                <c:pt idx="12">
                  <c:v>1600</c:v>
                </c:pt>
                <c:pt idx="13">
                  <c:v>500</c:v>
                </c:pt>
                <c:pt idx="14">
                  <c:v>440</c:v>
                </c:pt>
                <c:pt idx="15">
                  <c:v>415</c:v>
                </c:pt>
                <c:pt idx="16">
                  <c:v>400</c:v>
                </c:pt>
                <c:pt idx="17">
                  <c:v>415</c:v>
                </c:pt>
                <c:pt idx="18">
                  <c:v>440</c:v>
                </c:pt>
                <c:pt idx="19">
                  <c:v>725</c:v>
                </c:pt>
                <c:pt idx="20">
                  <c:v>950</c:v>
                </c:pt>
                <c:pt idx="21">
                  <c:v>825</c:v>
                </c:pt>
                <c:pt idx="22">
                  <c:v>925</c:v>
                </c:pt>
                <c:pt idx="23">
                  <c:v>1550</c:v>
                </c:pt>
                <c:pt idx="24">
                  <c:v>1095</c:v>
                </c:pt>
                <c:pt idx="25">
                  <c:v>975</c:v>
                </c:pt>
                <c:pt idx="26">
                  <c:v>395</c:v>
                </c:pt>
                <c:pt idx="27">
                  <c:v>425</c:v>
                </c:pt>
                <c:pt idx="28">
                  <c:v>995</c:v>
                </c:pt>
                <c:pt idx="29">
                  <c:v>950</c:v>
                </c:pt>
                <c:pt idx="30">
                  <c:v>900</c:v>
                </c:pt>
                <c:pt idx="31">
                  <c:v>425</c:v>
                </c:pt>
                <c:pt idx="32">
                  <c:v>625</c:v>
                </c:pt>
                <c:pt idx="33">
                  <c:v>560</c:v>
                </c:pt>
                <c:pt idx="34">
                  <c:v>795</c:v>
                </c:pt>
                <c:pt idx="35">
                  <c:v>1890</c:v>
                </c:pt>
                <c:pt idx="36">
                  <c:v>1950</c:v>
                </c:pt>
                <c:pt idx="37">
                  <c:v>555</c:v>
                </c:pt>
                <c:pt idx="38">
                  <c:v>1550</c:v>
                </c:pt>
                <c:pt idx="39">
                  <c:v>1600</c:v>
                </c:pt>
                <c:pt idx="40">
                  <c:v>2450</c:v>
                </c:pt>
                <c:pt idx="41">
                  <c:v>3450</c:v>
                </c:pt>
                <c:pt idx="42">
                  <c:v>475</c:v>
                </c:pt>
                <c:pt idx="43">
                  <c:v>530</c:v>
                </c:pt>
                <c:pt idx="44">
                  <c:v>860</c:v>
                </c:pt>
                <c:pt idx="45">
                  <c:v>860</c:v>
                </c:pt>
                <c:pt idx="46">
                  <c:v>860</c:v>
                </c:pt>
                <c:pt idx="47">
                  <c:v>910</c:v>
                </c:pt>
                <c:pt idx="48">
                  <c:v>910</c:v>
                </c:pt>
                <c:pt idx="49">
                  <c:v>895</c:v>
                </c:pt>
                <c:pt idx="50">
                  <c:v>2050</c:v>
                </c:pt>
                <c:pt idx="51">
                  <c:v>2100</c:v>
                </c:pt>
                <c:pt idx="52">
                  <c:v>800</c:v>
                </c:pt>
                <c:pt idx="53">
                  <c:v>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96-48B5-AC2E-A0E54D817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390464832"/>
        <c:axId val="390465792"/>
      </c:lineChart>
      <c:catAx>
        <c:axId val="390464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465792"/>
        <c:crosses val="autoZero"/>
        <c:auto val="1"/>
        <c:lblAlgn val="ctr"/>
        <c:lblOffset val="100"/>
        <c:noMultiLvlLbl val="0"/>
      </c:catAx>
      <c:valAx>
        <c:axId val="390465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464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Sales!$M$4</c:f>
              <c:strCache>
                <c:ptCount val="1"/>
                <c:pt idx="0">
                  <c:v>Total Amount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val>
            <c:numRef>
              <c:f>Sales!$M$5:$M$58</c:f>
              <c:numCache>
                <c:formatCode>General</c:formatCode>
                <c:ptCount val="54"/>
                <c:pt idx="0">
                  <c:v>3092.25</c:v>
                </c:pt>
                <c:pt idx="1">
                  <c:v>2826.25</c:v>
                </c:pt>
                <c:pt idx="2">
                  <c:v>3301.25</c:v>
                </c:pt>
                <c:pt idx="3">
                  <c:v>1552</c:v>
                </c:pt>
                <c:pt idx="4">
                  <c:v>2473.5</c:v>
                </c:pt>
                <c:pt idx="5">
                  <c:v>1940</c:v>
                </c:pt>
                <c:pt idx="6">
                  <c:v>2546.25</c:v>
                </c:pt>
                <c:pt idx="7">
                  <c:v>2910</c:v>
                </c:pt>
                <c:pt idx="8">
                  <c:v>2696.6</c:v>
                </c:pt>
                <c:pt idx="9">
                  <c:v>3400</c:v>
                </c:pt>
                <c:pt idx="10">
                  <c:v>8100</c:v>
                </c:pt>
                <c:pt idx="11">
                  <c:v>20700</c:v>
                </c:pt>
                <c:pt idx="12">
                  <c:v>32000</c:v>
                </c:pt>
                <c:pt idx="13">
                  <c:v>5820</c:v>
                </c:pt>
                <c:pt idx="14">
                  <c:v>1707.2</c:v>
                </c:pt>
                <c:pt idx="15">
                  <c:v>7245.9</c:v>
                </c:pt>
                <c:pt idx="16">
                  <c:v>2328</c:v>
                </c:pt>
                <c:pt idx="17">
                  <c:v>47725</c:v>
                </c:pt>
                <c:pt idx="18">
                  <c:v>6600</c:v>
                </c:pt>
                <c:pt idx="19">
                  <c:v>24650</c:v>
                </c:pt>
                <c:pt idx="20">
                  <c:v>9500</c:v>
                </c:pt>
                <c:pt idx="21">
                  <c:v>7425</c:v>
                </c:pt>
                <c:pt idx="22">
                  <c:v>8325</c:v>
                </c:pt>
                <c:pt idx="23">
                  <c:v>20150</c:v>
                </c:pt>
                <c:pt idx="24">
                  <c:v>6570</c:v>
                </c:pt>
                <c:pt idx="25">
                  <c:v>13650</c:v>
                </c:pt>
                <c:pt idx="26">
                  <c:v>25675</c:v>
                </c:pt>
                <c:pt idx="27">
                  <c:v>21675</c:v>
                </c:pt>
                <c:pt idx="28">
                  <c:v>13930</c:v>
                </c:pt>
                <c:pt idx="29">
                  <c:v>16150</c:v>
                </c:pt>
                <c:pt idx="30">
                  <c:v>19800</c:v>
                </c:pt>
                <c:pt idx="31">
                  <c:v>13175</c:v>
                </c:pt>
                <c:pt idx="32">
                  <c:v>8750</c:v>
                </c:pt>
                <c:pt idx="33">
                  <c:v>3920</c:v>
                </c:pt>
                <c:pt idx="34">
                  <c:v>5565</c:v>
                </c:pt>
                <c:pt idx="35">
                  <c:v>11340</c:v>
                </c:pt>
                <c:pt idx="36">
                  <c:v>11700</c:v>
                </c:pt>
                <c:pt idx="37">
                  <c:v>19980</c:v>
                </c:pt>
                <c:pt idx="38">
                  <c:v>26350</c:v>
                </c:pt>
                <c:pt idx="39">
                  <c:v>22400</c:v>
                </c:pt>
                <c:pt idx="40">
                  <c:v>14700</c:v>
                </c:pt>
                <c:pt idx="41">
                  <c:v>20700</c:v>
                </c:pt>
                <c:pt idx="42">
                  <c:v>15200</c:v>
                </c:pt>
                <c:pt idx="43">
                  <c:v>5300</c:v>
                </c:pt>
                <c:pt idx="44">
                  <c:v>4300</c:v>
                </c:pt>
                <c:pt idx="45">
                  <c:v>4300</c:v>
                </c:pt>
                <c:pt idx="46">
                  <c:v>4300</c:v>
                </c:pt>
                <c:pt idx="47">
                  <c:v>1820</c:v>
                </c:pt>
                <c:pt idx="48">
                  <c:v>1820</c:v>
                </c:pt>
                <c:pt idx="49">
                  <c:v>4475</c:v>
                </c:pt>
                <c:pt idx="50">
                  <c:v>6150</c:v>
                </c:pt>
                <c:pt idx="51">
                  <c:v>6300</c:v>
                </c:pt>
                <c:pt idx="52">
                  <c:v>10400</c:v>
                </c:pt>
                <c:pt idx="53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20-416F-8B40-F57AD5190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399671216"/>
        <c:axId val="399671696"/>
      </c:lineChart>
      <c:catAx>
        <c:axId val="3996712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671696"/>
        <c:crosses val="autoZero"/>
        <c:auto val="1"/>
        <c:lblAlgn val="ctr"/>
        <c:lblOffset val="100"/>
        <c:noMultiLvlLbl val="0"/>
      </c:catAx>
      <c:valAx>
        <c:axId val="399671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67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</a:t>
            </a:r>
            <a:r>
              <a:rPr lang="en-US" baseline="0"/>
              <a:t>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Analysis'!$D$13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FF0000">
                  <a:alpha val="97000"/>
                </a:srgb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 Analysis'!$B$14:$B$18</c:f>
              <c:strCache>
                <c:ptCount val="5"/>
                <c:pt idx="0">
                  <c:v>Print</c:v>
                </c:pt>
                <c:pt idx="1">
                  <c:v>Others</c:v>
                </c:pt>
                <c:pt idx="2">
                  <c:v>Handwork</c:v>
                </c:pt>
                <c:pt idx="3">
                  <c:v>Brush</c:v>
                </c:pt>
                <c:pt idx="4">
                  <c:v>Woven</c:v>
                </c:pt>
              </c:strCache>
            </c:strRef>
          </c:cat>
          <c:val>
            <c:numRef>
              <c:f>'Category Analysis'!$D$14:$D$18</c:f>
              <c:numCache>
                <c:formatCode>"₹"\ #,##0.00</c:formatCode>
                <c:ptCount val="5"/>
                <c:pt idx="0">
                  <c:v>209475.1</c:v>
                </c:pt>
                <c:pt idx="1">
                  <c:v>174900</c:v>
                </c:pt>
                <c:pt idx="2">
                  <c:v>157671.6</c:v>
                </c:pt>
                <c:pt idx="3">
                  <c:v>27062.5</c:v>
                </c:pt>
                <c:pt idx="4">
                  <c:v>5300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DB-408E-A3A5-463B817374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89464639"/>
        <c:axId val="289469439"/>
      </c:barChart>
      <c:catAx>
        <c:axId val="2894646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spc="-1" baseline="0">
                    <a:solidFill>
                      <a:srgbClr val="000000"/>
                    </a:solidFill>
                    <a:latin typeface="Calibri"/>
                  </a:rPr>
                  <a:t>Category</a:t>
                </a:r>
                <a:endParaRPr lang="en-US" sz="1000" b="1" i="0" u="none" strike="noStrike" kern="1200" spc="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469439"/>
        <c:crosses val="autoZero"/>
        <c:auto val="1"/>
        <c:lblAlgn val="ctr"/>
        <c:lblOffset val="100"/>
        <c:noMultiLvlLbl val="0"/>
      </c:catAx>
      <c:valAx>
        <c:axId val="28946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spc="-1" baseline="0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464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&amp; ABC Classification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'Category Analysis'!$C$25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C98-4AFE-92B5-8A148B98DE92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C98-4AFE-92B5-8A148B98DE92}"/>
              </c:ext>
            </c:extLst>
          </c:dPt>
          <c:cat>
            <c:strRef>
              <c:f>'Category Analysis'!$B$26:$B$30</c:f>
              <c:strCache>
                <c:ptCount val="5"/>
                <c:pt idx="0">
                  <c:v>Print (Class A)</c:v>
                </c:pt>
                <c:pt idx="1">
                  <c:v>Others (Class A)</c:v>
                </c:pt>
                <c:pt idx="2">
                  <c:v>Handwork (Class A)</c:v>
                </c:pt>
                <c:pt idx="3">
                  <c:v>Brush (Class B)</c:v>
                </c:pt>
                <c:pt idx="4">
                  <c:v>Woven (Class C)</c:v>
                </c:pt>
              </c:strCache>
            </c:strRef>
          </c:cat>
          <c:val>
            <c:numRef>
              <c:f>'Category Analysis'!$C$26:$C$30</c:f>
              <c:numCache>
                <c:formatCode>"₹"\ #,##0.00</c:formatCode>
                <c:ptCount val="5"/>
                <c:pt idx="0">
                  <c:v>209475.1</c:v>
                </c:pt>
                <c:pt idx="1">
                  <c:v>174900</c:v>
                </c:pt>
                <c:pt idx="2">
                  <c:v>157671.6</c:v>
                </c:pt>
                <c:pt idx="3">
                  <c:v>27062.5</c:v>
                </c:pt>
                <c:pt idx="4">
                  <c:v>5300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98-4AFE-92B5-8A148B98D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7148080"/>
        <c:axId val="727144240"/>
      </c:barChart>
      <c:catAx>
        <c:axId val="727148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144240"/>
        <c:crosses val="autoZero"/>
        <c:auto val="1"/>
        <c:lblAlgn val="ctr"/>
        <c:lblOffset val="100"/>
        <c:noMultiLvlLbl val="0"/>
      </c:catAx>
      <c:valAx>
        <c:axId val="72714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1480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-1" baseline="0">
                <a:solidFill>
                  <a:srgbClr val="000000"/>
                </a:solidFill>
                <a:latin typeface="Calibri"/>
              </a:rPr>
              <a:t>Top 10 Products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Analysis'!$F$4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Analysis'!$C$5:$C$14</c:f>
              <c:strCache>
                <c:ptCount val="10"/>
                <c:pt idx="0">
                  <c:v>Saree (EBR)</c:v>
                </c:pt>
                <c:pt idx="1">
                  <c:v>Chamundi print (Flower)</c:v>
                </c:pt>
                <c:pt idx="2">
                  <c:v>Saree MS-56</c:v>
                </c:pt>
                <c:pt idx="3">
                  <c:v>Saree MS-14</c:v>
                </c:pt>
                <c:pt idx="4">
                  <c:v>Saree</c:v>
                </c:pt>
                <c:pt idx="5">
                  <c:v>Chamundi Mukesh</c:v>
                </c:pt>
                <c:pt idx="6">
                  <c:v>Chamundi print HW</c:v>
                </c:pt>
                <c:pt idx="7">
                  <c:v>Chamundi print</c:v>
                </c:pt>
                <c:pt idx="8">
                  <c:v>Chamundi Mukesh Shaded</c:v>
                </c:pt>
                <c:pt idx="9">
                  <c:v>Chiffon Plain Brush (Handwork)</c:v>
                </c:pt>
              </c:strCache>
            </c:strRef>
          </c:cat>
          <c:val>
            <c:numRef>
              <c:f>'Product Analysis'!$F$5:$F$14</c:f>
              <c:numCache>
                <c:formatCode>_("₹"* #,##0.00_);_("₹"* \(#,##0.00\);_("₹"* "-"??_);_(@_)</c:formatCode>
                <c:ptCount val="10"/>
                <c:pt idx="0">
                  <c:v>84150</c:v>
                </c:pt>
                <c:pt idx="1">
                  <c:v>47725</c:v>
                </c:pt>
                <c:pt idx="2">
                  <c:v>40500</c:v>
                </c:pt>
                <c:pt idx="3">
                  <c:v>32000</c:v>
                </c:pt>
                <c:pt idx="4">
                  <c:v>29610</c:v>
                </c:pt>
                <c:pt idx="5">
                  <c:v>25675</c:v>
                </c:pt>
                <c:pt idx="6">
                  <c:v>24650</c:v>
                </c:pt>
                <c:pt idx="7">
                  <c:v>22748.9</c:v>
                </c:pt>
                <c:pt idx="8">
                  <c:v>21675</c:v>
                </c:pt>
                <c:pt idx="9">
                  <c:v>20150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CB-4104-B518-747D3DE893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08616975"/>
        <c:axId val="1208614095"/>
      </c:barChart>
      <c:catAx>
        <c:axId val="12086169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spc="-1" baseline="0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614095"/>
        <c:crosses val="autoZero"/>
        <c:auto val="1"/>
        <c:lblAlgn val="ctr"/>
        <c:lblOffset val="100"/>
        <c:noMultiLvlLbl val="0"/>
      </c:catAx>
      <c:valAx>
        <c:axId val="1208614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spc="-1" baseline="0">
                    <a:solidFill>
                      <a:srgbClr val="000000"/>
                    </a:solidFill>
                    <a:latin typeface="+mn-lt"/>
                  </a:rPr>
                  <a:t>Product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61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ABC/Pareto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Analysis'!$E$4</c:f>
              <c:strCache>
                <c:ptCount val="1"/>
                <c:pt idx="0">
                  <c:v>Units Sold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'Product Analysis'!$B$5:$D$17</c15:sqref>
                  </c15:fullRef>
                  <c15:levelRef>
                    <c15:sqref>'Product Analysis'!$C$5:$C$17</c15:sqref>
                  </c15:levelRef>
                </c:ext>
              </c:extLst>
              <c:f>'Product Analysis'!$C$5:$C$17</c:f>
              <c:strCache>
                <c:ptCount val="13"/>
                <c:pt idx="0">
                  <c:v>Saree (EBR)</c:v>
                </c:pt>
                <c:pt idx="1">
                  <c:v>Chamundi print (Flower)</c:v>
                </c:pt>
                <c:pt idx="2">
                  <c:v>Saree MS-56</c:v>
                </c:pt>
                <c:pt idx="3">
                  <c:v>Saree MS-14</c:v>
                </c:pt>
                <c:pt idx="4">
                  <c:v>Saree</c:v>
                </c:pt>
                <c:pt idx="5">
                  <c:v>Chamundi Mukesh</c:v>
                </c:pt>
                <c:pt idx="6">
                  <c:v>Chamundi print HW</c:v>
                </c:pt>
                <c:pt idx="7">
                  <c:v>Chamundi print</c:v>
                </c:pt>
                <c:pt idx="8">
                  <c:v>Chamundi Mukesh Shaded</c:v>
                </c:pt>
                <c:pt idx="9">
                  <c:v>Chiffon Plain Brush (Handwork)</c:v>
                </c:pt>
                <c:pt idx="10">
                  <c:v>Saree (P441 Vivanta)</c:v>
                </c:pt>
                <c:pt idx="11">
                  <c:v>Chamundi Gota ari</c:v>
                </c:pt>
                <c:pt idx="12">
                  <c:v>Saree Nylon MS-157</c:v>
                </c:pt>
              </c:strCache>
            </c:strRef>
          </c:cat>
          <c:val>
            <c:numRef>
              <c:f>'Product Analysis'!$E$5:$E$17</c:f>
              <c:numCache>
                <c:formatCode>General</c:formatCode>
                <c:ptCount val="13"/>
                <c:pt idx="0">
                  <c:v>43</c:v>
                </c:pt>
                <c:pt idx="1">
                  <c:v>115</c:v>
                </c:pt>
                <c:pt idx="2">
                  <c:v>45</c:v>
                </c:pt>
                <c:pt idx="3">
                  <c:v>20</c:v>
                </c:pt>
                <c:pt idx="4">
                  <c:v>18</c:v>
                </c:pt>
                <c:pt idx="5">
                  <c:v>65</c:v>
                </c:pt>
                <c:pt idx="6">
                  <c:v>34</c:v>
                </c:pt>
                <c:pt idx="7">
                  <c:v>55</c:v>
                </c:pt>
                <c:pt idx="8">
                  <c:v>51</c:v>
                </c:pt>
                <c:pt idx="9">
                  <c:v>13</c:v>
                </c:pt>
                <c:pt idx="10">
                  <c:v>36</c:v>
                </c:pt>
                <c:pt idx="11">
                  <c:v>22</c:v>
                </c:pt>
                <c:pt idx="1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09-44B4-BF8F-3A93A1D78311}"/>
            </c:ext>
          </c:extLst>
        </c:ser>
        <c:ser>
          <c:idx val="1"/>
          <c:order val="1"/>
          <c:tx>
            <c:strRef>
              <c:f>'Product Analysis'!$F$4</c:f>
              <c:strCache>
                <c:ptCount val="1"/>
                <c:pt idx="0">
                  <c:v>Revenue (₹)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'Product Analysis'!$B$5:$D$17</c15:sqref>
                  </c15:fullRef>
                  <c15:levelRef>
                    <c15:sqref>'Product Analysis'!$C$5:$C$17</c15:sqref>
                  </c15:levelRef>
                </c:ext>
              </c:extLst>
              <c:f>'Product Analysis'!$C$5:$C$17</c:f>
              <c:strCache>
                <c:ptCount val="13"/>
                <c:pt idx="0">
                  <c:v>Saree (EBR)</c:v>
                </c:pt>
                <c:pt idx="1">
                  <c:v>Chamundi print (Flower)</c:v>
                </c:pt>
                <c:pt idx="2">
                  <c:v>Saree MS-56</c:v>
                </c:pt>
                <c:pt idx="3">
                  <c:v>Saree MS-14</c:v>
                </c:pt>
                <c:pt idx="4">
                  <c:v>Saree</c:v>
                </c:pt>
                <c:pt idx="5">
                  <c:v>Chamundi Mukesh</c:v>
                </c:pt>
                <c:pt idx="6">
                  <c:v>Chamundi print HW</c:v>
                </c:pt>
                <c:pt idx="7">
                  <c:v>Chamundi print</c:v>
                </c:pt>
                <c:pt idx="8">
                  <c:v>Chamundi Mukesh Shaded</c:v>
                </c:pt>
                <c:pt idx="9">
                  <c:v>Chiffon Plain Brush (Handwork)</c:v>
                </c:pt>
                <c:pt idx="10">
                  <c:v>Saree (P441 Vivanta)</c:v>
                </c:pt>
                <c:pt idx="11">
                  <c:v>Chamundi Gota ari</c:v>
                </c:pt>
                <c:pt idx="12">
                  <c:v>Saree Nylon MS-157</c:v>
                </c:pt>
              </c:strCache>
            </c:strRef>
          </c:cat>
          <c:val>
            <c:numRef>
              <c:f>'Product Analysis'!$F$5:$F$17</c:f>
              <c:numCache>
                <c:formatCode>_("₹"* #,##0.00_);_("₹"* \(#,##0.00\);_("₹"* "-"??_);_(@_)</c:formatCode>
                <c:ptCount val="13"/>
                <c:pt idx="0">
                  <c:v>84150</c:v>
                </c:pt>
                <c:pt idx="1">
                  <c:v>47725</c:v>
                </c:pt>
                <c:pt idx="2">
                  <c:v>40500</c:v>
                </c:pt>
                <c:pt idx="3">
                  <c:v>32000</c:v>
                </c:pt>
                <c:pt idx="4">
                  <c:v>29610</c:v>
                </c:pt>
                <c:pt idx="5">
                  <c:v>25675</c:v>
                </c:pt>
                <c:pt idx="6">
                  <c:v>24650</c:v>
                </c:pt>
                <c:pt idx="7">
                  <c:v>22748.9</c:v>
                </c:pt>
                <c:pt idx="8">
                  <c:v>21675</c:v>
                </c:pt>
                <c:pt idx="9">
                  <c:v>20150</c:v>
                </c:pt>
                <c:pt idx="10">
                  <c:v>19980</c:v>
                </c:pt>
                <c:pt idx="11">
                  <c:v>18660</c:v>
                </c:pt>
                <c:pt idx="12">
                  <c:v>16150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09-44B4-BF8F-3A93A1D78311}"/>
            </c:ext>
          </c:extLst>
        </c:ser>
        <c:ser>
          <c:idx val="2"/>
          <c:order val="2"/>
          <c:tx>
            <c:strRef>
              <c:f>'Product Analysis'!$G$4</c:f>
              <c:strCache>
                <c:ptCount val="1"/>
                <c:pt idx="0">
                  <c:v>Revenue %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'Product Analysis'!$B$5:$D$17</c15:sqref>
                  </c15:fullRef>
                  <c15:levelRef>
                    <c15:sqref>'Product Analysis'!$C$5:$C$17</c15:sqref>
                  </c15:levelRef>
                </c:ext>
              </c:extLst>
              <c:f>'Product Analysis'!$C$5:$C$17</c:f>
              <c:strCache>
                <c:ptCount val="13"/>
                <c:pt idx="0">
                  <c:v>Saree (EBR)</c:v>
                </c:pt>
                <c:pt idx="1">
                  <c:v>Chamundi print (Flower)</c:v>
                </c:pt>
                <c:pt idx="2">
                  <c:v>Saree MS-56</c:v>
                </c:pt>
                <c:pt idx="3">
                  <c:v>Saree MS-14</c:v>
                </c:pt>
                <c:pt idx="4">
                  <c:v>Saree</c:v>
                </c:pt>
                <c:pt idx="5">
                  <c:v>Chamundi Mukesh</c:v>
                </c:pt>
                <c:pt idx="6">
                  <c:v>Chamundi print HW</c:v>
                </c:pt>
                <c:pt idx="7">
                  <c:v>Chamundi print</c:v>
                </c:pt>
                <c:pt idx="8">
                  <c:v>Chamundi Mukesh Shaded</c:v>
                </c:pt>
                <c:pt idx="9">
                  <c:v>Chiffon Plain Brush (Handwork)</c:v>
                </c:pt>
                <c:pt idx="10">
                  <c:v>Saree (P441 Vivanta)</c:v>
                </c:pt>
                <c:pt idx="11">
                  <c:v>Chamundi Gota ari</c:v>
                </c:pt>
                <c:pt idx="12">
                  <c:v>Saree Nylon MS-157</c:v>
                </c:pt>
              </c:strCache>
            </c:strRef>
          </c:cat>
          <c:val>
            <c:numRef>
              <c:f>'Product Analysis'!$G$5:$G$17</c:f>
              <c:numCache>
                <c:formatCode>0.0%</c:formatCode>
                <c:ptCount val="13"/>
                <c:pt idx="0">
                  <c:v>0.1464983499567904</c:v>
                </c:pt>
                <c:pt idx="1">
                  <c:v>8.3085368409837448E-2</c:v>
                </c:pt>
                <c:pt idx="2">
                  <c:v>7.0507227251931204E-2</c:v>
                </c:pt>
                <c:pt idx="3">
                  <c:v>5.5709414124982683E-2</c:v>
                </c:pt>
                <c:pt idx="4">
                  <c:v>5.1548617257523036E-2</c:v>
                </c:pt>
                <c:pt idx="5">
                  <c:v>4.4698100239341572E-2</c:v>
                </c:pt>
                <c:pt idx="6">
                  <c:v>4.2913658068150722E-2</c:v>
                </c:pt>
                <c:pt idx="7">
                  <c:v>3.9603996593369335E-2</c:v>
                </c:pt>
                <c:pt idx="8">
                  <c:v>3.7734423473718741E-2</c:v>
                </c:pt>
                <c:pt idx="9">
                  <c:v>3.5079521706825031E-2</c:v>
                </c:pt>
                <c:pt idx="10">
                  <c:v>3.4783565444286062E-2</c:v>
                </c:pt>
                <c:pt idx="11">
                  <c:v>3.2485552111630525E-2</c:v>
                </c:pt>
                <c:pt idx="12">
                  <c:v>2.8115844941202197E-2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09-44B4-BF8F-3A93A1D78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6823392"/>
        <c:axId val="1586826272"/>
      </c:barChart>
      <c:lineChart>
        <c:grouping val="standard"/>
        <c:varyColors val="0"/>
        <c:ser>
          <c:idx val="3"/>
          <c:order val="3"/>
          <c:tx>
            <c:strRef>
              <c:f>'Product Analysis'!$H$4</c:f>
              <c:strCache>
                <c:ptCount val="1"/>
                <c:pt idx="0">
                  <c:v>Cumulative %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'Product Analysis'!$B$5:$D$17</c15:sqref>
                  </c15:fullRef>
                  <c15:levelRef>
                    <c15:sqref>'Product Analysis'!$C$5:$C$17</c15:sqref>
                  </c15:levelRef>
                </c:ext>
              </c:extLst>
              <c:f>'Product Analysis'!$C$5:$C$17</c:f>
              <c:strCache>
                <c:ptCount val="13"/>
                <c:pt idx="0">
                  <c:v>Saree (EBR)</c:v>
                </c:pt>
                <c:pt idx="1">
                  <c:v>Chamundi print (Flower)</c:v>
                </c:pt>
                <c:pt idx="2">
                  <c:v>Saree MS-56</c:v>
                </c:pt>
                <c:pt idx="3">
                  <c:v>Saree MS-14</c:v>
                </c:pt>
                <c:pt idx="4">
                  <c:v>Saree</c:v>
                </c:pt>
                <c:pt idx="5">
                  <c:v>Chamundi Mukesh</c:v>
                </c:pt>
                <c:pt idx="6">
                  <c:v>Chamundi print HW</c:v>
                </c:pt>
                <c:pt idx="7">
                  <c:v>Chamundi print</c:v>
                </c:pt>
                <c:pt idx="8">
                  <c:v>Chamundi Mukesh Shaded</c:v>
                </c:pt>
                <c:pt idx="9">
                  <c:v>Chiffon Plain Brush (Handwork)</c:v>
                </c:pt>
                <c:pt idx="10">
                  <c:v>Saree (P441 Vivanta)</c:v>
                </c:pt>
                <c:pt idx="11">
                  <c:v>Chamundi Gota ari</c:v>
                </c:pt>
                <c:pt idx="12">
                  <c:v>Saree Nylon MS-157</c:v>
                </c:pt>
              </c:strCache>
            </c:strRef>
          </c:cat>
          <c:val>
            <c:numRef>
              <c:f>'Product Analysis'!$H$5:$H$17</c:f>
              <c:numCache>
                <c:formatCode>0.0%</c:formatCode>
                <c:ptCount val="13"/>
                <c:pt idx="0">
                  <c:v>0.1464983499567904</c:v>
                </c:pt>
                <c:pt idx="1">
                  <c:v>0.22958371836662783</c:v>
                </c:pt>
                <c:pt idx="2">
                  <c:v>0.30009094561855904</c:v>
                </c:pt>
                <c:pt idx="3">
                  <c:v>0.35580035974354174</c:v>
                </c:pt>
                <c:pt idx="4">
                  <c:v>0.40734897700106476</c:v>
                </c:pt>
                <c:pt idx="5">
                  <c:v>0.45204707724040633</c:v>
                </c:pt>
                <c:pt idx="6">
                  <c:v>0.49496073530855705</c:v>
                </c:pt>
                <c:pt idx="7">
                  <c:v>0.53456473190192644</c:v>
                </c:pt>
                <c:pt idx="8">
                  <c:v>0.57229915537564513</c:v>
                </c:pt>
                <c:pt idx="9">
                  <c:v>0.60737867708247018</c:v>
                </c:pt>
                <c:pt idx="10">
                  <c:v>0.64216224252675624</c:v>
                </c:pt>
                <c:pt idx="11">
                  <c:v>0.67464779463838676</c:v>
                </c:pt>
                <c:pt idx="12">
                  <c:v>0.70276363957958898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09-44B4-BF8F-3A93A1D78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6821952"/>
        <c:axId val="1586827232"/>
      </c:lineChart>
      <c:catAx>
        <c:axId val="1586823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826272"/>
        <c:crosses val="autoZero"/>
        <c:auto val="1"/>
        <c:lblAlgn val="ctr"/>
        <c:lblOffset val="100"/>
        <c:noMultiLvlLbl val="0"/>
      </c:catAx>
      <c:valAx>
        <c:axId val="158682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823392"/>
        <c:crosses val="autoZero"/>
        <c:crossBetween val="between"/>
      </c:valAx>
      <c:valAx>
        <c:axId val="15868272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Cummulative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821952"/>
        <c:crosses val="max"/>
        <c:crossBetween val="between"/>
      </c:valAx>
      <c:catAx>
        <c:axId val="15868219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68272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(Jan–Mar 2025) - MOM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Trend'!$D$5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Trend'!$C$6:$C$8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'Monthly Trend'!$D$6:$D$8</c:f>
              <c:numCache>
                <c:formatCode>General</c:formatCode>
                <c:ptCount val="3"/>
                <c:pt idx="0">
                  <c:v>243</c:v>
                </c:pt>
                <c:pt idx="1">
                  <c:v>434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23-4B59-8B1D-DE461C248595}"/>
            </c:ext>
          </c:extLst>
        </c:ser>
        <c:ser>
          <c:idx val="1"/>
          <c:order val="1"/>
          <c:tx>
            <c:strRef>
              <c:f>'Monthly Trend'!$E$5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Trend'!$C$6:$C$8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'Monthly Trend'!$E$6:$E$8</c:f>
              <c:numCache>
                <c:formatCode>_("₹"* #,##0.00_);_("₹"* \(#,##0.00\);_("₹"* "-"??_);_(@_)</c:formatCode>
                <c:ptCount val="3"/>
                <c:pt idx="0">
                  <c:v>227945</c:v>
                </c:pt>
                <c:pt idx="1">
                  <c:v>258926.1</c:v>
                </c:pt>
                <c:pt idx="2">
                  <c:v>87538.1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D72-4D6A-8F6B-98F730100E7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1003965119"/>
        <c:axId val="1003966079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'Monthly Trend'!$F$5</c15:sqref>
                        </c15:formulaRef>
                      </c:ext>
                    </c:extLst>
                    <c:strCache>
                      <c:ptCount val="1"/>
                      <c:pt idx="0">
                        <c:v>Transactions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'Monthly Trend'!$C$6:$C$8</c15:sqref>
                        </c15:formulaRef>
                      </c:ext>
                    </c:extLst>
                    <c:strCache>
                      <c:ptCount val="3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'Monthly Trend'!$F$6:$F$8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23</c:v>
                      </c:pt>
                      <c:pt idx="1">
                        <c:v>18</c:v>
                      </c:pt>
                      <c:pt idx="2">
                        <c:v>13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D-7D72-4D6A-8F6B-98F730100E7D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Trend'!$G$5</c15:sqref>
                        </c15:formulaRef>
                      </c:ext>
                    </c:extLst>
                    <c:strCache>
                      <c:ptCount val="1"/>
                      <c:pt idx="0">
                        <c:v>Avg Revenue/Txn (₹)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Trend'!$C$6:$C$8</c15:sqref>
                        </c15:formulaRef>
                      </c:ext>
                    </c:extLst>
                    <c:strCache>
                      <c:ptCount val="3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Trend'!$G$6:$G$8</c15:sqref>
                        </c15:formulaRef>
                      </c:ext>
                    </c:extLst>
                    <c:numCache>
                      <c:formatCode>_("₹"* #,##0.00_);_("₹"* \(#,##0.00\);_("₹"* "-"??_);_(@_)</c:formatCode>
                      <c:ptCount val="3"/>
                      <c:pt idx="0">
                        <c:v>9910.652173913044</c:v>
                      </c:pt>
                      <c:pt idx="1">
                        <c:v>14384.783333333333</c:v>
                      </c:pt>
                      <c:pt idx="2">
                        <c:v>6733.7000000000007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7D72-4D6A-8F6B-98F730100E7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'Monthly Trend'!$H$5</c:f>
              <c:strCache>
                <c:ptCount val="1"/>
                <c:pt idx="0">
                  <c:v>MoM Revenue Growth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8.6409008309212706E-2"/>
                  <c:y val="7.46871139205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7D72-4D6A-8F6B-98F730100E7D}"/>
                </c:ext>
              </c:extLst>
            </c:dLbl>
            <c:dLbl>
              <c:idx val="1"/>
              <c:layout>
                <c:manualLayout>
                  <c:x val="-0.16801751615680244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D72-4D6A-8F6B-98F730100E7D}"/>
                </c:ext>
              </c:extLst>
            </c:dLbl>
            <c:dLbl>
              <c:idx val="2"/>
              <c:layout>
                <c:manualLayout>
                  <c:x val="-0.10801126038651589"/>
                  <c:y val="-0.2121114035343589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D72-4D6A-8F6B-98F730100E7D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Trend'!$C$6:$C$8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'Monthly Trend'!$H$6:$H$8</c:f>
              <c:numCache>
                <c:formatCode>0.0%</c:formatCode>
                <c:ptCount val="3"/>
                <c:pt idx="0">
                  <c:v>0</c:v>
                </c:pt>
                <c:pt idx="1">
                  <c:v>0.13591480400973921</c:v>
                </c:pt>
                <c:pt idx="2">
                  <c:v>-0.66191859376092255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D72-4D6A-8F6B-98F730100E7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267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marker val="1"/>
        <c:smooth val="0"/>
        <c:axId val="607241712"/>
        <c:axId val="607233552"/>
      </c:lineChart>
      <c:catAx>
        <c:axId val="1003965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966079"/>
        <c:crosses val="autoZero"/>
        <c:auto val="1"/>
        <c:lblAlgn val="ctr"/>
        <c:lblOffset val="100"/>
        <c:noMultiLvlLbl val="0"/>
      </c:catAx>
      <c:valAx>
        <c:axId val="100396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965119"/>
        <c:crosses val="autoZero"/>
        <c:crossBetween val="between"/>
      </c:valAx>
      <c:valAx>
        <c:axId val="607233552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241712"/>
        <c:crosses val="max"/>
        <c:crossBetween val="between"/>
      </c:valAx>
      <c:catAx>
        <c:axId val="6072417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072335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[S.R. Trading Data.xlsx]Sales Product Aanalysis 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 Product Aanalysis '!$D$55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BA2-421F-9A7B-3F43662316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BA2-421F-9A7B-3F43662316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BA2-421F-9A7B-3F43662316F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BA2-421F-9A7B-3F43662316F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BA2-421F-9A7B-3F43662316F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BA2-421F-9A7B-3F43662316F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BA2-421F-9A7B-3F43662316F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BA2-421F-9A7B-3F43662316F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4BA2-421F-9A7B-3F43662316F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4BA2-421F-9A7B-3F43662316F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4BA2-421F-9A7B-3F43662316F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4BA2-421F-9A7B-3F43662316F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4BA2-421F-9A7B-3F43662316FA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4BA2-421F-9A7B-3F43662316FA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4BA2-421F-9A7B-3F43662316FA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4BA2-421F-9A7B-3F43662316FA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4BA2-421F-9A7B-3F43662316FA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4BA2-421F-9A7B-3F43662316FA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4BA2-421F-9A7B-3F43662316FA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4BA2-421F-9A7B-3F43662316FA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4BA2-421F-9A7B-3F43662316FA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4BA2-421F-9A7B-3F43662316FA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4BA2-421F-9A7B-3F43662316FA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4BA2-421F-9A7B-3F43662316FA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4BA2-421F-9A7B-3F43662316FA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4BA2-421F-9A7B-3F43662316FA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4BA2-421F-9A7B-3F43662316FA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4BA2-421F-9A7B-3F43662316FA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4BA2-421F-9A7B-3F43662316FA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4BA2-421F-9A7B-3F43662316FA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4BA2-421F-9A7B-3F43662316FA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4BA2-421F-9A7B-3F43662316FA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4BA2-421F-9A7B-3F43662316FA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4BA2-421F-9A7B-3F43662316FA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4BA2-421F-9A7B-3F43662316FA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4BA2-421F-9A7B-3F43662316FA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4BA2-421F-9A7B-3F43662316FA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4BA2-421F-9A7B-3F43662316FA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4BA2-421F-9A7B-3F43662316FA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4BA2-421F-9A7B-3F43662316FA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4BA2-421F-9A7B-3F43662316FA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4BA2-421F-9A7B-3F43662316FA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4BA2-421F-9A7B-3F43662316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Product Aanalysis '!$C$56:$C$99</c:f>
              <c:strCache>
                <c:ptCount val="43"/>
                <c:pt idx="0">
                  <c:v>Ch. Brush-1190</c:v>
                </c:pt>
                <c:pt idx="1">
                  <c:v>Chamundi (SEQN BUTTI)</c:v>
                </c:pt>
                <c:pt idx="2">
                  <c:v>Chamundi (SEQN JAAL)</c:v>
                </c:pt>
                <c:pt idx="3">
                  <c:v>Chamundi Border</c:v>
                </c:pt>
                <c:pt idx="4">
                  <c:v>Chamundi Brush</c:v>
                </c:pt>
                <c:pt idx="5">
                  <c:v>Chamundi Brush HW</c:v>
                </c:pt>
                <c:pt idx="6">
                  <c:v>Chamundi Gota ari</c:v>
                </c:pt>
                <c:pt idx="7">
                  <c:v>Chamundi Gota Brush</c:v>
                </c:pt>
                <c:pt idx="8">
                  <c:v>Chamundi Gota paloo</c:v>
                </c:pt>
                <c:pt idx="9">
                  <c:v>Chamundi HW (cutdan br)</c:v>
                </c:pt>
                <c:pt idx="10">
                  <c:v>Chamundi HW (Kasab buta)</c:v>
                </c:pt>
                <c:pt idx="11">
                  <c:v>Chamundi HW (Kery buta)</c:v>
                </c:pt>
                <c:pt idx="12">
                  <c:v>Chamundi HW (Kery butti jaal)</c:v>
                </c:pt>
                <c:pt idx="13">
                  <c:v>Chamundi HW (Khajoor buta)</c:v>
                </c:pt>
                <c:pt idx="14">
                  <c:v>Chamundi HW (paan buta)</c:v>
                </c:pt>
                <c:pt idx="15">
                  <c:v>Chamundi Mukesh</c:v>
                </c:pt>
                <c:pt idx="16">
                  <c:v>Chamundi Mukesh Shaded</c:v>
                </c:pt>
                <c:pt idx="17">
                  <c:v>Chamundi print</c:v>
                </c:pt>
                <c:pt idx="18">
                  <c:v>Chamundi print (Flower)</c:v>
                </c:pt>
                <c:pt idx="19">
                  <c:v>Chamundi print HW</c:v>
                </c:pt>
                <c:pt idx="20">
                  <c:v>Chamundi print HW (Shaded dye nagin)</c:v>
                </c:pt>
                <c:pt idx="21">
                  <c:v>Chamundi PT (Fancy)</c:v>
                </c:pt>
                <c:pt idx="22">
                  <c:v>Chamundi PT (Kaani print)</c:v>
                </c:pt>
                <c:pt idx="23">
                  <c:v>Chamundi PT. -930</c:v>
                </c:pt>
                <c:pt idx="24">
                  <c:v>Chamundi Shaded</c:v>
                </c:pt>
                <c:pt idx="25">
                  <c:v>Chamundi Shaded (Fir Print)</c:v>
                </c:pt>
                <c:pt idx="26">
                  <c:v>Chiffon Plain Brush (Handwork)</c:v>
                </c:pt>
                <c:pt idx="27">
                  <c:v>Manjula -1390</c:v>
                </c:pt>
                <c:pt idx="28">
                  <c:v>Nylon Chiffon Jaq border</c:v>
                </c:pt>
                <c:pt idx="29">
                  <c:v>Nylon Chinon Piping(kaani print)</c:v>
                </c:pt>
                <c:pt idx="30">
                  <c:v>Saree</c:v>
                </c:pt>
                <c:pt idx="31">
                  <c:v>Saree (EBR)</c:v>
                </c:pt>
                <c:pt idx="32">
                  <c:v>Saree (P441 Vivanta)</c:v>
                </c:pt>
                <c:pt idx="33">
                  <c:v>Saree MS-114</c:v>
                </c:pt>
                <c:pt idx="34">
                  <c:v>Saree MS-115</c:v>
                </c:pt>
                <c:pt idx="35">
                  <c:v>Saree MS-130</c:v>
                </c:pt>
                <c:pt idx="36">
                  <c:v>Saree MS-14</c:v>
                </c:pt>
                <c:pt idx="37">
                  <c:v>Saree MS-54</c:v>
                </c:pt>
                <c:pt idx="38">
                  <c:v>Saree MS-55</c:v>
                </c:pt>
                <c:pt idx="39">
                  <c:v>Saree MS-56</c:v>
                </c:pt>
                <c:pt idx="40">
                  <c:v>Saree Nylon MS-129</c:v>
                </c:pt>
                <c:pt idx="41">
                  <c:v>Saree Nylon MS-157</c:v>
                </c:pt>
                <c:pt idx="42">
                  <c:v>Spray Brush Handwork</c:v>
                </c:pt>
              </c:strCache>
            </c:strRef>
          </c:cat>
          <c:val>
            <c:numRef>
              <c:f>'Sales Product Aanalysis '!$D$56:$D$99</c:f>
              <c:numCache>
                <c:formatCode>General</c:formatCode>
                <c:ptCount val="43"/>
                <c:pt idx="0">
                  <c:v>5</c:v>
                </c:pt>
                <c:pt idx="1">
                  <c:v>7</c:v>
                </c:pt>
                <c:pt idx="2">
                  <c:v>14</c:v>
                </c:pt>
                <c:pt idx="3">
                  <c:v>7</c:v>
                </c:pt>
                <c:pt idx="4">
                  <c:v>16</c:v>
                </c:pt>
                <c:pt idx="5">
                  <c:v>14</c:v>
                </c:pt>
                <c:pt idx="6">
                  <c:v>22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2</c:v>
                </c:pt>
                <c:pt idx="12">
                  <c:v>5</c:v>
                </c:pt>
                <c:pt idx="13">
                  <c:v>5</c:v>
                </c:pt>
                <c:pt idx="14">
                  <c:v>2</c:v>
                </c:pt>
                <c:pt idx="15">
                  <c:v>65</c:v>
                </c:pt>
                <c:pt idx="16">
                  <c:v>51</c:v>
                </c:pt>
                <c:pt idx="17">
                  <c:v>55</c:v>
                </c:pt>
                <c:pt idx="18">
                  <c:v>115</c:v>
                </c:pt>
                <c:pt idx="19">
                  <c:v>34</c:v>
                </c:pt>
                <c:pt idx="20">
                  <c:v>10</c:v>
                </c:pt>
                <c:pt idx="21">
                  <c:v>6</c:v>
                </c:pt>
                <c:pt idx="22">
                  <c:v>4</c:v>
                </c:pt>
                <c:pt idx="23">
                  <c:v>7</c:v>
                </c:pt>
                <c:pt idx="24">
                  <c:v>15</c:v>
                </c:pt>
                <c:pt idx="25">
                  <c:v>4</c:v>
                </c:pt>
                <c:pt idx="26">
                  <c:v>13</c:v>
                </c:pt>
                <c:pt idx="27">
                  <c:v>5</c:v>
                </c:pt>
                <c:pt idx="28">
                  <c:v>10</c:v>
                </c:pt>
                <c:pt idx="29">
                  <c:v>32</c:v>
                </c:pt>
                <c:pt idx="30">
                  <c:v>18</c:v>
                </c:pt>
                <c:pt idx="31">
                  <c:v>43</c:v>
                </c:pt>
                <c:pt idx="32">
                  <c:v>36</c:v>
                </c:pt>
                <c:pt idx="33">
                  <c:v>3</c:v>
                </c:pt>
                <c:pt idx="34">
                  <c:v>3</c:v>
                </c:pt>
                <c:pt idx="35">
                  <c:v>13</c:v>
                </c:pt>
                <c:pt idx="36">
                  <c:v>20</c:v>
                </c:pt>
                <c:pt idx="37">
                  <c:v>4</c:v>
                </c:pt>
                <c:pt idx="38">
                  <c:v>9</c:v>
                </c:pt>
                <c:pt idx="39">
                  <c:v>45</c:v>
                </c:pt>
                <c:pt idx="40">
                  <c:v>8</c:v>
                </c:pt>
                <c:pt idx="41">
                  <c:v>17</c:v>
                </c:pt>
                <c:pt idx="4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BA-44EB-B79E-D68D7494081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935137877971689"/>
          <c:y val="0.16004955276754348"/>
          <c:w val="0.36562528151962681"/>
          <c:h val="0.78515584238366998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dk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</a:p>
        </c:rich>
      </c:tx>
      <c:layout>
        <c:manualLayout>
          <c:xMode val="edge"/>
          <c:yMode val="edge"/>
          <c:x val="0.75411278351016264"/>
          <c:y val="4.20000049606305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'Sales Product Aanalysis '!$D$4</c:f>
              <c:strCache>
                <c:ptCount val="1"/>
                <c:pt idx="0">
                  <c:v>Quantity Sold (Pcs.)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160-4A88-BAA5-5087BACA91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160-4A88-BAA5-5087BACA91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160-4A88-BAA5-5087BACA91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160-4A88-BAA5-5087BACA91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160-4A88-BAA5-5087BACA91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160-4A88-BAA5-5087BACA91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160-4A88-BAA5-5087BACA91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160-4A88-BAA5-5087BACA91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160-4A88-BAA5-5087BACA91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9160-4A88-BAA5-5087BACA91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9160-4A88-BAA5-5087BACA91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9160-4A88-BAA5-5087BACA911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9160-4A88-BAA5-5087BACA911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9160-4A88-BAA5-5087BACA9114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9160-4A88-BAA5-5087BACA9114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9160-4A88-BAA5-5087BACA9114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9160-4A88-BAA5-5087BACA9114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9160-4A88-BAA5-5087BACA9114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9160-4A88-BAA5-5087BACA9114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9160-4A88-BAA5-5087BACA9114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9160-4A88-BAA5-5087BACA9114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9160-4A88-BAA5-5087BACA9114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9160-4A88-BAA5-5087BACA9114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9160-4A88-BAA5-5087BACA9114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9160-4A88-BAA5-5087BACA9114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9160-4A88-BAA5-5087BACA9114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9160-4A88-BAA5-5087BACA9114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9160-4A88-BAA5-5087BACA9114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9160-4A88-BAA5-5087BACA9114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9160-4A88-BAA5-5087BACA9114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9160-4A88-BAA5-5087BACA9114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9160-4A88-BAA5-5087BACA9114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9160-4A88-BAA5-5087BACA9114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9160-4A88-BAA5-5087BACA9114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9160-4A88-BAA5-5087BACA9114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9160-4A88-BAA5-5087BACA9114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9160-4A88-BAA5-5087BACA9114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9160-4A88-BAA5-5087BACA9114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9160-4A88-BAA5-5087BACA9114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9160-4A88-BAA5-5087BACA9114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9160-4A88-BAA5-5087BACA9114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9160-4A88-BAA5-5087BACA911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Product Aanalysis '!$C$5:$C$46</c:f>
              <c:strCache>
                <c:ptCount val="42"/>
                <c:pt idx="0">
                  <c:v>Chamundi print (Flower)</c:v>
                </c:pt>
                <c:pt idx="1">
                  <c:v>Chamundi Mukesh</c:v>
                </c:pt>
                <c:pt idx="2">
                  <c:v>Chamundi print</c:v>
                </c:pt>
                <c:pt idx="3">
                  <c:v>Chamundi Mukesh Shaded</c:v>
                </c:pt>
                <c:pt idx="4">
                  <c:v>Saree MS-56</c:v>
                </c:pt>
                <c:pt idx="5">
                  <c:v>Saree (EBR)</c:v>
                </c:pt>
                <c:pt idx="6">
                  <c:v>Saree (P441 Vivanta)</c:v>
                </c:pt>
                <c:pt idx="7">
                  <c:v>Chamundi print HW</c:v>
                </c:pt>
                <c:pt idx="8">
                  <c:v>Nylon Chinon Piping(kaani print)</c:v>
                </c:pt>
                <c:pt idx="9">
                  <c:v>Chamundi Gota ari</c:v>
                </c:pt>
                <c:pt idx="10">
                  <c:v>Saree MS-14</c:v>
                </c:pt>
                <c:pt idx="11">
                  <c:v>Saree</c:v>
                </c:pt>
                <c:pt idx="12">
                  <c:v>Saree Nylon MS-157</c:v>
                </c:pt>
                <c:pt idx="13">
                  <c:v>Chamundi Brush</c:v>
                </c:pt>
                <c:pt idx="14">
                  <c:v>Chamundi Shaded</c:v>
                </c:pt>
                <c:pt idx="15">
                  <c:v>Chamundi (SEQN JAAL)</c:v>
                </c:pt>
                <c:pt idx="16">
                  <c:v>Chamundi Brush HW</c:v>
                </c:pt>
                <c:pt idx="17">
                  <c:v>Spray Brush Handwork</c:v>
                </c:pt>
                <c:pt idx="18">
                  <c:v>Chiffon Plain Brush (Handwork)</c:v>
                </c:pt>
                <c:pt idx="19">
                  <c:v>Saree MS-130</c:v>
                </c:pt>
                <c:pt idx="20">
                  <c:v>Chamundi print HW (Shaded dye nagin)</c:v>
                </c:pt>
                <c:pt idx="21">
                  <c:v>Nylon Chiffon Jaq border</c:v>
                </c:pt>
                <c:pt idx="22">
                  <c:v>Saree MS-55</c:v>
                </c:pt>
                <c:pt idx="23">
                  <c:v>Saree Nylon MS-129</c:v>
                </c:pt>
                <c:pt idx="24">
                  <c:v>Chamundi (SEQN BUTTI)</c:v>
                </c:pt>
                <c:pt idx="25">
                  <c:v>Chamundi Border</c:v>
                </c:pt>
                <c:pt idx="26">
                  <c:v>Chamundi PT. -930</c:v>
                </c:pt>
                <c:pt idx="27">
                  <c:v>Chamundi PT (Fancy)</c:v>
                </c:pt>
                <c:pt idx="28">
                  <c:v>Ch. Brush-1190</c:v>
                </c:pt>
                <c:pt idx="29">
                  <c:v>Chamundi HW (cutdan br)</c:v>
                </c:pt>
                <c:pt idx="30">
                  <c:v>Chamundi HW (Kasab buta)</c:v>
                </c:pt>
                <c:pt idx="31">
                  <c:v>Chamundi HW (Kery butti jaal)</c:v>
                </c:pt>
                <c:pt idx="32">
                  <c:v>Chamundi HW (Khajoor buta)</c:v>
                </c:pt>
                <c:pt idx="33">
                  <c:v>Manjula -1390</c:v>
                </c:pt>
                <c:pt idx="34">
                  <c:v>Chamundi Gota paloo</c:v>
                </c:pt>
                <c:pt idx="35">
                  <c:v>Chamundi PT (Kaani print)</c:v>
                </c:pt>
                <c:pt idx="36">
                  <c:v>Chamundi Shaded (Fir Print)</c:v>
                </c:pt>
                <c:pt idx="37">
                  <c:v>Saree MS-54</c:v>
                </c:pt>
                <c:pt idx="38">
                  <c:v>Chamundi Gota Brush</c:v>
                </c:pt>
                <c:pt idx="39">
                  <c:v>Saree MS-114</c:v>
                </c:pt>
                <c:pt idx="40">
                  <c:v>Saree MS-115</c:v>
                </c:pt>
                <c:pt idx="41">
                  <c:v>Chamundi HW (Kery buta)</c:v>
                </c:pt>
              </c:strCache>
            </c:strRef>
          </c:cat>
          <c:val>
            <c:numRef>
              <c:f>'Sales Product Aanalysis '!$D$5:$D$46</c:f>
              <c:numCache>
                <c:formatCode>General</c:formatCode>
                <c:ptCount val="42"/>
                <c:pt idx="0">
                  <c:v>115</c:v>
                </c:pt>
                <c:pt idx="1">
                  <c:v>65</c:v>
                </c:pt>
                <c:pt idx="2">
                  <c:v>55</c:v>
                </c:pt>
                <c:pt idx="3">
                  <c:v>51</c:v>
                </c:pt>
                <c:pt idx="4">
                  <c:v>45</c:v>
                </c:pt>
                <c:pt idx="5">
                  <c:v>43</c:v>
                </c:pt>
                <c:pt idx="6">
                  <c:v>36</c:v>
                </c:pt>
                <c:pt idx="7">
                  <c:v>34</c:v>
                </c:pt>
                <c:pt idx="8">
                  <c:v>32</c:v>
                </c:pt>
                <c:pt idx="9">
                  <c:v>22</c:v>
                </c:pt>
                <c:pt idx="10">
                  <c:v>20</c:v>
                </c:pt>
                <c:pt idx="11">
                  <c:v>18</c:v>
                </c:pt>
                <c:pt idx="12">
                  <c:v>17</c:v>
                </c:pt>
                <c:pt idx="13">
                  <c:v>16</c:v>
                </c:pt>
                <c:pt idx="14">
                  <c:v>15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13</c:v>
                </c:pt>
                <c:pt idx="19">
                  <c:v>13</c:v>
                </c:pt>
                <c:pt idx="20">
                  <c:v>10</c:v>
                </c:pt>
                <c:pt idx="21">
                  <c:v>10</c:v>
                </c:pt>
                <c:pt idx="22">
                  <c:v>9</c:v>
                </c:pt>
                <c:pt idx="23">
                  <c:v>8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6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EE-4DD7-92E4-43583A0E267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006641318478331"/>
          <c:y val="0.15279734088157571"/>
          <c:w val="0.33783681454203479"/>
          <c:h val="0.80981796966353981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Revenue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'Customer Analysis'!$F$4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E30-4926-AEC0-A0F54AB390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E30-4926-AEC0-A0F54AB390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E30-4926-AEC0-A0F54AB390D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E30-4926-AEC0-A0F54AB390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Analysis'!$C$5:$C$8</c:f>
              <c:strCache>
                <c:ptCount val="4"/>
                <c:pt idx="0">
                  <c:v>Lucky Silk Store</c:v>
                </c:pt>
                <c:pt idx="1">
                  <c:v>Shyam Silk Store</c:v>
                </c:pt>
                <c:pt idx="2">
                  <c:v>Pamecha cloth centre</c:v>
                </c:pt>
                <c:pt idx="3">
                  <c:v>Kanchan A Mewara</c:v>
                </c:pt>
              </c:strCache>
            </c:strRef>
          </c:cat>
          <c:val>
            <c:numRef>
              <c:f>'Customer Analysis'!$F$5:$F$8</c:f>
              <c:numCache>
                <c:formatCode>"₹"\ #,##0.00</c:formatCode>
                <c:ptCount val="4"/>
                <c:pt idx="0">
                  <c:v>364455</c:v>
                </c:pt>
                <c:pt idx="1">
                  <c:v>169515</c:v>
                </c:pt>
                <c:pt idx="2">
                  <c:v>23338.1</c:v>
                </c:pt>
                <c:pt idx="3">
                  <c:v>17101.099999999999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D2-47CA-AB14-3F730C16BC0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Analysis'!$C$5</c:f>
              <c:strCache>
                <c:ptCount val="1"/>
                <c:pt idx="0">
                  <c:v>Lucky Silk Store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Analysis'!$H$4</c:f>
              <c:strCache>
                <c:ptCount val="1"/>
                <c:pt idx="0">
                  <c:v>Revenue Share</c:v>
                </c:pt>
              </c:strCache>
            </c:strRef>
          </c:cat>
          <c:val>
            <c:numRef>
              <c:f>'Customer Analysis'!$H$5</c:f>
              <c:numCache>
                <c:formatCode>0.0%</c:formatCode>
                <c:ptCount val="1"/>
                <c:pt idx="0">
                  <c:v>0.6344867039037676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83-4BF8-8FD7-40EAA782EE81}"/>
            </c:ext>
          </c:extLst>
        </c:ser>
        <c:ser>
          <c:idx val="1"/>
          <c:order val="1"/>
          <c:tx>
            <c:strRef>
              <c:f>'Customer Analysis'!$C$6</c:f>
              <c:strCache>
                <c:ptCount val="1"/>
                <c:pt idx="0">
                  <c:v>Shyam Silk Store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Analysis'!$H$4</c:f>
              <c:strCache>
                <c:ptCount val="1"/>
                <c:pt idx="0">
                  <c:v>Revenue Share</c:v>
                </c:pt>
              </c:strCache>
            </c:strRef>
          </c:cat>
          <c:val>
            <c:numRef>
              <c:f>'Customer Analysis'!$H$6</c:f>
              <c:numCache>
                <c:formatCode>0.0%</c:formatCode>
                <c:ptCount val="1"/>
                <c:pt idx="0">
                  <c:v>0.29511191673113873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83-4BF8-8FD7-40EAA782EE81}"/>
            </c:ext>
          </c:extLst>
        </c:ser>
        <c:ser>
          <c:idx val="2"/>
          <c:order val="2"/>
          <c:tx>
            <c:strRef>
              <c:f>'Customer Analysis'!$C$7</c:f>
              <c:strCache>
                <c:ptCount val="1"/>
                <c:pt idx="0">
                  <c:v>Pamecha cloth centre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Analysis'!$H$4</c:f>
              <c:strCache>
                <c:ptCount val="1"/>
                <c:pt idx="0">
                  <c:v>Revenue Share</c:v>
                </c:pt>
              </c:strCache>
            </c:strRef>
          </c:cat>
          <c:val>
            <c:numRef>
              <c:f>'Customer Analysis'!$H$7</c:f>
              <c:numCache>
                <c:formatCode>0.0%</c:formatCode>
                <c:ptCount val="1"/>
                <c:pt idx="0">
                  <c:v>4.0629746180945572E-2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83-4BF8-8FD7-40EAA782EE81}"/>
            </c:ext>
          </c:extLst>
        </c:ser>
        <c:ser>
          <c:idx val="3"/>
          <c:order val="3"/>
          <c:tx>
            <c:strRef>
              <c:f>'Customer Analysis'!$C$8</c:f>
              <c:strCache>
                <c:ptCount val="1"/>
                <c:pt idx="0">
                  <c:v>Kanchan A Mewara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Analysis'!$H$4</c:f>
              <c:strCache>
                <c:ptCount val="1"/>
                <c:pt idx="0">
                  <c:v>Revenue Share</c:v>
                </c:pt>
              </c:strCache>
            </c:strRef>
          </c:cat>
          <c:val>
            <c:numRef>
              <c:f>'Customer Analysis'!$H$8</c:f>
              <c:numCache>
                <c:formatCode>0.0%</c:formatCode>
                <c:ptCount val="1"/>
                <c:pt idx="0">
                  <c:v>2.9771633184148164E-2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83-4BF8-8FD7-40EAA782E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7711616"/>
        <c:axId val="1997710176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'Customer Analysis'!$D$12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7-CD83-4BF8-8FD7-40EAA782EE81}"/>
                  </c:ext>
                </c:extLst>
              </c15:ser>
            </c15:filteredBarSeries>
          </c:ext>
        </c:extLst>
      </c:barChart>
      <c:catAx>
        <c:axId val="199771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710176"/>
        <c:crosses val="autoZero"/>
        <c:auto val="1"/>
        <c:lblAlgn val="ctr"/>
        <c:lblOffset val="100"/>
        <c:noMultiLvlLbl val="0"/>
      </c:catAx>
      <c:valAx>
        <c:axId val="199771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71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Purchase vs Sales Gross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'Purchase vs Sales'!$D$39</c:f>
              <c:strCache>
                <c:ptCount val="1"/>
                <c:pt idx="0">
                  <c:v>Qty Purchased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'Purchase vs Sales'!$C$40:$C$44</c:f>
              <c:strCache>
                <c:ptCount val="5"/>
                <c:pt idx="0">
                  <c:v>Print</c:v>
                </c:pt>
                <c:pt idx="1">
                  <c:v>Others</c:v>
                </c:pt>
                <c:pt idx="2">
                  <c:v>Handwork</c:v>
                </c:pt>
                <c:pt idx="3">
                  <c:v>Brush</c:v>
                </c:pt>
                <c:pt idx="4">
                  <c:v>Woven</c:v>
                </c:pt>
              </c:strCache>
            </c:strRef>
          </c:cat>
          <c:val>
            <c:numRef>
              <c:f>'Purchase vs Sales'!$D$40:$D$44</c:f>
              <c:numCache>
                <c:formatCode>General</c:formatCode>
                <c:ptCount val="5"/>
                <c:pt idx="0">
                  <c:v>290</c:v>
                </c:pt>
                <c:pt idx="1">
                  <c:v>113</c:v>
                </c:pt>
                <c:pt idx="2">
                  <c:v>229</c:v>
                </c:pt>
                <c:pt idx="3">
                  <c:v>38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AE-498F-9751-6A7E27FDD204}"/>
            </c:ext>
          </c:extLst>
        </c:ser>
        <c:ser>
          <c:idx val="1"/>
          <c:order val="1"/>
          <c:tx>
            <c:strRef>
              <c:f>'Purchase vs Sales'!$E$39</c:f>
              <c:strCache>
                <c:ptCount val="1"/>
                <c:pt idx="0">
                  <c:v>Qty Sold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'Purchase vs Sales'!$C$40:$C$44</c:f>
              <c:strCache>
                <c:ptCount val="5"/>
                <c:pt idx="0">
                  <c:v>Print</c:v>
                </c:pt>
                <c:pt idx="1">
                  <c:v>Others</c:v>
                </c:pt>
                <c:pt idx="2">
                  <c:v>Handwork</c:v>
                </c:pt>
                <c:pt idx="3">
                  <c:v>Brush</c:v>
                </c:pt>
                <c:pt idx="4">
                  <c:v>Woven</c:v>
                </c:pt>
              </c:strCache>
            </c:strRef>
          </c:cat>
          <c:val>
            <c:numRef>
              <c:f>'Purchase vs Sales'!$E$40:$E$44</c:f>
              <c:numCache>
                <c:formatCode>0.00</c:formatCode>
                <c:ptCount val="5"/>
                <c:pt idx="0">
                  <c:v>349</c:v>
                </c:pt>
                <c:pt idx="1">
                  <c:v>141</c:v>
                </c:pt>
                <c:pt idx="2">
                  <c:v>237</c:v>
                </c:pt>
                <c:pt idx="3">
                  <c:v>38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AE-498F-9751-6A7E27FDD2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7196560"/>
        <c:axId val="727196080"/>
      </c:barChart>
      <c:lineChart>
        <c:grouping val="standard"/>
        <c:varyColors val="0"/>
        <c:ser>
          <c:idx val="2"/>
          <c:order val="2"/>
          <c:tx>
            <c:strRef>
              <c:f>'Purchase vs Sales'!$F$39</c:f>
              <c:strCache>
                <c:ptCount val="1"/>
                <c:pt idx="0">
                  <c:v>Gross Profit</c:v>
                </c:pt>
              </c:strCache>
            </c:strRef>
          </c:tx>
          <c:spPr>
            <a:ln w="34925" cap="rnd">
              <a:solidFill>
                <a:srgbClr val="FF0000"/>
              </a:solidFill>
              <a:round/>
              <a:headEnd type="diamond" w="med" len="med"/>
              <a:tailEnd type="diamond" w="lg" len="lg"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elete val="1"/>
          </c:dLbls>
          <c:cat>
            <c:strRef>
              <c:f>'Purchase vs Sales'!$C$40:$C$44</c:f>
              <c:strCache>
                <c:ptCount val="5"/>
                <c:pt idx="0">
                  <c:v>Print</c:v>
                </c:pt>
                <c:pt idx="1">
                  <c:v>Others</c:v>
                </c:pt>
                <c:pt idx="2">
                  <c:v>Handwork</c:v>
                </c:pt>
                <c:pt idx="3">
                  <c:v>Brush</c:v>
                </c:pt>
                <c:pt idx="4">
                  <c:v>Woven</c:v>
                </c:pt>
              </c:strCache>
            </c:strRef>
          </c:cat>
          <c:val>
            <c:numRef>
              <c:f>'Purchase vs Sales'!$F$40:$F$44</c:f>
              <c:numCache>
                <c:formatCode>"₹"\ #,##0.00</c:formatCode>
                <c:ptCount val="5"/>
                <c:pt idx="0">
                  <c:v>59</c:v>
                </c:pt>
                <c:pt idx="1">
                  <c:v>28</c:v>
                </c:pt>
                <c:pt idx="2">
                  <c:v>8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AE-498F-9751-6A7E27FDD2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27200400"/>
        <c:axId val="727199920"/>
      </c:lineChart>
      <c:catAx>
        <c:axId val="727196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196080"/>
        <c:crosses val="autoZero"/>
        <c:auto val="1"/>
        <c:lblAlgn val="ctr"/>
        <c:lblOffset val="100"/>
        <c:noMultiLvlLbl val="0"/>
      </c:catAx>
      <c:valAx>
        <c:axId val="72719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QTY. (Pcs)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196560"/>
        <c:crosses val="autoZero"/>
        <c:crossBetween val="between"/>
      </c:valAx>
      <c:valAx>
        <c:axId val="72719992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Gross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₹&quot;* #,##0\K_);_(&quot;₹&quot;* \(#,##0\K\);_(&quot;₹&quot;* &quot;-&quot;??\K\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200400"/>
        <c:crosses val="max"/>
        <c:crossBetween val="between"/>
      </c:valAx>
      <c:catAx>
        <c:axId val="7272004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271999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Purchase vs Sales Quantity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'Purchase vs Sales'!$C$6</c:f>
              <c:strCache>
                <c:ptCount val="1"/>
                <c:pt idx="0">
                  <c:v>Qty Purchased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'Purchase vs Sales'!$B$7:$B$11</c:f>
              <c:strCache>
                <c:ptCount val="5"/>
                <c:pt idx="0">
                  <c:v>Print</c:v>
                </c:pt>
                <c:pt idx="1">
                  <c:v>Others</c:v>
                </c:pt>
                <c:pt idx="2">
                  <c:v>Handwork</c:v>
                </c:pt>
                <c:pt idx="3">
                  <c:v>Brush</c:v>
                </c:pt>
                <c:pt idx="4">
                  <c:v>Woven</c:v>
                </c:pt>
              </c:strCache>
            </c:strRef>
          </c:cat>
          <c:val>
            <c:numRef>
              <c:f>'Purchase vs Sales'!$C$7:$C$11</c:f>
              <c:numCache>
                <c:formatCode>General</c:formatCode>
                <c:ptCount val="5"/>
                <c:pt idx="0">
                  <c:v>290</c:v>
                </c:pt>
                <c:pt idx="1">
                  <c:v>113</c:v>
                </c:pt>
                <c:pt idx="2">
                  <c:v>229</c:v>
                </c:pt>
                <c:pt idx="3">
                  <c:v>38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CF-41CC-817B-6C26FCC7965D}"/>
            </c:ext>
          </c:extLst>
        </c:ser>
        <c:ser>
          <c:idx val="1"/>
          <c:order val="1"/>
          <c:tx>
            <c:strRef>
              <c:f>'Purchase vs Sales'!$D$6</c:f>
              <c:strCache>
                <c:ptCount val="1"/>
                <c:pt idx="0">
                  <c:v>Qty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'Purchase vs Sales'!$B$7:$B$11</c:f>
              <c:strCache>
                <c:ptCount val="5"/>
                <c:pt idx="0">
                  <c:v>Print</c:v>
                </c:pt>
                <c:pt idx="1">
                  <c:v>Others</c:v>
                </c:pt>
                <c:pt idx="2">
                  <c:v>Handwork</c:v>
                </c:pt>
                <c:pt idx="3">
                  <c:v>Brush</c:v>
                </c:pt>
                <c:pt idx="4">
                  <c:v>Woven</c:v>
                </c:pt>
              </c:strCache>
            </c:strRef>
          </c:cat>
          <c:val>
            <c:numRef>
              <c:f>'Purchase vs Sales'!$D$7:$D$11</c:f>
              <c:numCache>
                <c:formatCode>0.00</c:formatCode>
                <c:ptCount val="5"/>
                <c:pt idx="0">
                  <c:v>349</c:v>
                </c:pt>
                <c:pt idx="1">
                  <c:v>141</c:v>
                </c:pt>
                <c:pt idx="2">
                  <c:v>237</c:v>
                </c:pt>
                <c:pt idx="3">
                  <c:v>38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CF-41CC-817B-6C26FCC796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964436831"/>
        <c:axId val="964437311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'Purchase vs Sales'!$E$6</c15:sqref>
                        </c15:formulaRef>
                      </c:ext>
                    </c:extLst>
                    <c:strCache>
                      <c:ptCount val="1"/>
                      <c:pt idx="0">
                        <c:v>Purchase Cost (₹)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'Purchase vs Sales'!$B$7:$B$11</c15:sqref>
                        </c15:formulaRef>
                      </c:ext>
                    </c:extLst>
                    <c:strCache>
                      <c:ptCount val="5"/>
                      <c:pt idx="0">
                        <c:v>Print</c:v>
                      </c:pt>
                      <c:pt idx="1">
                        <c:v>Others</c:v>
                      </c:pt>
                      <c:pt idx="2">
                        <c:v>Handwork</c:v>
                      </c:pt>
                      <c:pt idx="3">
                        <c:v>Brush</c:v>
                      </c:pt>
                      <c:pt idx="4">
                        <c:v>Woven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'Purchase vs Sales'!$E$7:$E$11</c15:sqref>
                        </c15:formulaRef>
                      </c:ext>
                    </c:extLst>
                    <c:numCache>
                      <c:formatCode>"₹"\ #,##0.00</c:formatCode>
                      <c:ptCount val="5"/>
                      <c:pt idx="0">
                        <c:v>174273.25</c:v>
                      </c:pt>
                      <c:pt idx="1">
                        <c:v>157110</c:v>
                      </c:pt>
                      <c:pt idx="2">
                        <c:v>143226.75</c:v>
                      </c:pt>
                      <c:pt idx="3">
                        <c:v>26153.5</c:v>
                      </c:pt>
                      <c:pt idx="4">
                        <c:v>5035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60A-4E38-B29B-4B14CCE53FC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'Purchase vs Sales'!$F$6</c15:sqref>
                        </c15:formulaRef>
                      </c:ext>
                    </c:extLst>
                    <c:strCache>
                      <c:ptCount val="1"/>
                      <c:pt idx="0">
                        <c:v>Sales Revenue (₹)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'Purchase vs Sales'!$B$7:$B$11</c15:sqref>
                        </c15:formulaRef>
                      </c:ext>
                    </c:extLst>
                    <c:strCache>
                      <c:ptCount val="5"/>
                      <c:pt idx="0">
                        <c:v>Print</c:v>
                      </c:pt>
                      <c:pt idx="1">
                        <c:v>Others</c:v>
                      </c:pt>
                      <c:pt idx="2">
                        <c:v>Handwork</c:v>
                      </c:pt>
                      <c:pt idx="3">
                        <c:v>Brush</c:v>
                      </c:pt>
                      <c:pt idx="4">
                        <c:v>Woven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'Purchase vs Sales'!$F$7:$F$11</c15:sqref>
                        </c15:formulaRef>
                      </c:ext>
                    </c:extLst>
                    <c:numCache>
                      <c:formatCode>"₹"\ #,##0.00</c:formatCode>
                      <c:ptCount val="5"/>
                      <c:pt idx="0">
                        <c:v>209475.1</c:v>
                      </c:pt>
                      <c:pt idx="1">
                        <c:v>174900</c:v>
                      </c:pt>
                      <c:pt idx="2">
                        <c:v>157671.6</c:v>
                      </c:pt>
                      <c:pt idx="3">
                        <c:v>27062.5</c:v>
                      </c:pt>
                      <c:pt idx="4">
                        <c:v>5300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60A-4E38-B29B-4B14CCE53FC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'Purchase vs Sales'!$G$6</c15:sqref>
                        </c15:formulaRef>
                      </c:ext>
                    </c:extLst>
                    <c:strCache>
                      <c:ptCount val="1"/>
                      <c:pt idx="0">
                        <c:v>Gross Profit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'Purchase vs Sales'!$B$7:$B$11</c15:sqref>
                        </c15:formulaRef>
                      </c:ext>
                    </c:extLst>
                    <c:strCache>
                      <c:ptCount val="5"/>
                      <c:pt idx="0">
                        <c:v>Print</c:v>
                      </c:pt>
                      <c:pt idx="1">
                        <c:v>Others</c:v>
                      </c:pt>
                      <c:pt idx="2">
                        <c:v>Handwork</c:v>
                      </c:pt>
                      <c:pt idx="3">
                        <c:v>Brush</c:v>
                      </c:pt>
                      <c:pt idx="4">
                        <c:v>Woven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'Purchase vs Sales'!$G$7:$G$11</c15:sqref>
                        </c15:formulaRef>
                      </c:ext>
                    </c:extLst>
                    <c:numCache>
                      <c:formatCode>"₹"\ #,##0.00</c:formatCode>
                      <c:ptCount val="5"/>
                      <c:pt idx="0">
                        <c:v>35201.850000000006</c:v>
                      </c:pt>
                      <c:pt idx="1">
                        <c:v>17790</c:v>
                      </c:pt>
                      <c:pt idx="2">
                        <c:v>14444.850000000006</c:v>
                      </c:pt>
                      <c:pt idx="3">
                        <c:v>909</c:v>
                      </c:pt>
                      <c:pt idx="4">
                        <c:v>265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60A-4E38-B29B-4B14CCE53FC6}"/>
                  </c:ext>
                </c:extLst>
              </c15:ser>
            </c15:filteredBarSeries>
          </c:ext>
        </c:extLst>
      </c:barChart>
      <c:catAx>
        <c:axId val="964436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437311"/>
        <c:crosses val="autoZero"/>
        <c:auto val="1"/>
        <c:lblAlgn val="ctr"/>
        <c:lblOffset val="100"/>
        <c:noMultiLvlLbl val="0"/>
      </c:catAx>
      <c:valAx>
        <c:axId val="96443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 (Pcs.)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4368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267730</xdr:colOff>
      <xdr:row>50</xdr:row>
      <xdr:rowOff>61783</xdr:rowOff>
    </xdr:from>
    <xdr:to>
      <xdr:col>9</xdr:col>
      <xdr:colOff>319216</xdr:colOff>
      <xdr:row>66</xdr:row>
      <xdr:rowOff>30892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7306AA-B656-4235-B385-C0C8B00AC8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319216</xdr:colOff>
      <xdr:row>67</xdr:row>
      <xdr:rowOff>82378</xdr:rowOff>
    </xdr:from>
    <xdr:to>
      <xdr:col>9</xdr:col>
      <xdr:colOff>298622</xdr:colOff>
      <xdr:row>81</xdr:row>
      <xdr:rowOff>164757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E3FB06-40D1-46AB-BDD6-2C41FDA55C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436447</xdr:colOff>
      <xdr:row>85</xdr:row>
      <xdr:rowOff>63684</xdr:rowOff>
    </xdr:from>
    <xdr:to>
      <xdr:col>9</xdr:col>
      <xdr:colOff>339811</xdr:colOff>
      <xdr:row>100</xdr:row>
      <xdr:rowOff>92675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AD6A4DE-5367-4622-A3A0-940DAAEAA6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102447</xdr:colOff>
      <xdr:row>0</xdr:row>
      <xdr:rowOff>146897</xdr:rowOff>
    </xdr:from>
    <xdr:to>
      <xdr:col>28</xdr:col>
      <xdr:colOff>347980</xdr:colOff>
      <xdr:row>19</xdr:row>
      <xdr:rowOff>64346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9D13A8-DC01-B2E3-3B1D-0F3996E86A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12698</xdr:colOff>
      <xdr:row>20</xdr:row>
      <xdr:rowOff>143934</xdr:rowOff>
    </xdr:from>
    <xdr:to>
      <xdr:col>28</xdr:col>
      <xdr:colOff>1083734</xdr:colOff>
      <xdr:row>40</xdr:row>
      <xdr:rowOff>84666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F13869B8-7E24-CC9E-1781-5DB8BC5EC77B}"/>
            </a:ext>
          </a:extLst>
        </xdr:cNvPr>
        <xdr:cNvGrpSpPr/>
      </xdr:nvGrpSpPr>
      <xdr:grpSpPr>
        <a:xfrm>
          <a:off x="6777565" y="3894667"/>
          <a:ext cx="6184902" cy="3666066"/>
          <a:chOff x="6642098" y="4521200"/>
          <a:chExt cx="5837769" cy="3259667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3396F701-E15B-2E44-5E9A-7E9C2E1FC043}"/>
              </a:ext>
            </a:extLst>
          </xdr:cNvPr>
          <xdr:cNvGraphicFramePr/>
        </xdr:nvGraphicFramePr>
        <xdr:xfrm>
          <a:off x="6642098" y="4521200"/>
          <a:ext cx="5837769" cy="325966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9E675B95-9D15-9457-E06A-E6D129A9DC24}"/>
              </a:ext>
            </a:extLst>
          </xdr:cNvPr>
          <xdr:cNvSpPr txBox="1"/>
        </xdr:nvSpPr>
        <xdr:spPr>
          <a:xfrm>
            <a:off x="10315162" y="4896606"/>
            <a:ext cx="2108201" cy="5842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00"/>
              <a:t>Class A - Top 70% revenue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Class B - Next 20% revenue</a:t>
            </a:r>
            <a:endParaRPr lang="en-US" sz="1000">
              <a:effectLst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Class C - Bottom 10% revenue</a:t>
            </a:r>
            <a:endParaRPr lang="en-US" sz="1000">
              <a:effectLst/>
            </a:endParaRPr>
          </a:p>
          <a:p>
            <a:endParaRPr lang="en-US" sz="1100"/>
          </a:p>
          <a:p>
            <a:endParaRPr 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227813</xdr:colOff>
      <xdr:row>4</xdr:row>
      <xdr:rowOff>7070</xdr:rowOff>
    </xdr:from>
    <xdr:to>
      <xdr:col>14</xdr:col>
      <xdr:colOff>290659</xdr:colOff>
      <xdr:row>23</xdr:row>
      <xdr:rowOff>102124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F8E6BF-C53A-281F-9BA8-362C042EA6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580570</xdr:colOff>
      <xdr:row>26</xdr:row>
      <xdr:rowOff>84362</xdr:rowOff>
    </xdr:from>
    <xdr:to>
      <xdr:col>15</xdr:col>
      <xdr:colOff>208643</xdr:colOff>
      <xdr:row>44</xdr:row>
      <xdr:rowOff>108857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3339ED-5F02-7973-0C95-DDF03C4619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304799</xdr:colOff>
      <xdr:row>5</xdr:row>
      <xdr:rowOff>95250</xdr:rowOff>
    </xdr:from>
    <xdr:to>
      <xdr:col>17</xdr:col>
      <xdr:colOff>310115</xdr:colOff>
      <xdr:row>28</xdr:row>
      <xdr:rowOff>115187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9E84A3-B6DE-19B4-3657-D9BDF6C733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7</xdr:col>
      <xdr:colOff>1211384</xdr:colOff>
      <xdr:row>33</xdr:row>
      <xdr:rowOff>146539</xdr:rowOff>
    </xdr:from>
    <xdr:ext cx="6096000" cy="3179884"/>
    <xdr:pic>
      <xdr:nvPicPr>
        <xdr:cNvPr id="4" name="Image 1" descr="Picture">
          <a:extLst>
            <a:ext uri="{FF2B5EF4-FFF2-40B4-BE49-F238E27FC236}">
              <a16:creationId xmlns:a16="http://schemas.microsoft.com/office/drawing/2014/main" id="{988B2BF0-A168-47C0-984D-CCBD554AB41D}"/>
            </a:ext>
          </a:extLst>
        </xdr:cNvPr>
        <xdr:cNvPicPr/>
      </xdr:nvPicPr>
      <xdr:blipFill rotWithShape="1">
        <a:blip xmlns:r="http://schemas.openxmlformats.org/officeDocument/2006/relationships" r:embed="rId2" cstate="print"/>
        <a:srcRect t="5788"/>
        <a:stretch>
          <a:fillRect/>
        </a:stretch>
      </xdr:blipFill>
      <xdr:spPr>
        <a:xfrm>
          <a:off x="8743461" y="6301154"/>
          <a:ext cx="6096000" cy="3179884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903513</xdr:colOff>
      <xdr:row>54</xdr:row>
      <xdr:rowOff>181426</xdr:rowOff>
    </xdr:from>
    <xdr:to>
      <xdr:col>8</xdr:col>
      <xdr:colOff>1248228</xdr:colOff>
      <xdr:row>77</xdr:row>
      <xdr:rowOff>7256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F98794-0C07-B908-B7E7-FD0220B752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522514</xdr:colOff>
      <xdr:row>3</xdr:row>
      <xdr:rowOff>0</xdr:rowOff>
    </xdr:from>
    <xdr:to>
      <xdr:col>8</xdr:col>
      <xdr:colOff>1023257</xdr:colOff>
      <xdr:row>22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B00F31-6173-25F2-6314-08A0EB5718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137160</xdr:colOff>
      <xdr:row>2</xdr:row>
      <xdr:rowOff>26670</xdr:rowOff>
    </xdr:from>
    <xdr:to>
      <xdr:col>17</xdr:col>
      <xdr:colOff>121920</xdr:colOff>
      <xdr:row>19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B0E77D-0BDD-710E-BFA1-4C492070BF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815340</xdr:colOff>
      <xdr:row>21</xdr:row>
      <xdr:rowOff>140970</xdr:rowOff>
    </xdr:from>
    <xdr:to>
      <xdr:col>11</xdr:col>
      <xdr:colOff>518160</xdr:colOff>
      <xdr:row>36</xdr:row>
      <xdr:rowOff>140970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0E1947-0EA6-016D-F19F-730D5E4BB7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494861</xdr:colOff>
      <xdr:row>5</xdr:row>
      <xdr:rowOff>73573</xdr:rowOff>
    </xdr:from>
    <xdr:to>
      <xdr:col>26</xdr:col>
      <xdr:colOff>376620</xdr:colOff>
      <xdr:row>23</xdr:row>
      <xdr:rowOff>8758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080C26-A8B9-1169-DA22-5FF1F48A05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565785</xdr:colOff>
      <xdr:row>0</xdr:row>
      <xdr:rowOff>121920</xdr:rowOff>
    </xdr:from>
    <xdr:to>
      <xdr:col>16</xdr:col>
      <xdr:colOff>295275</xdr:colOff>
      <xdr:row>24</xdr:row>
      <xdr:rowOff>173355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9D932311-B135-B1DC-C6BE-F91512B220CD}"/>
            </a:ext>
          </a:extLst>
        </xdr:cNvPr>
        <xdr:cNvGrpSpPr/>
      </xdr:nvGrpSpPr>
      <xdr:grpSpPr>
        <a:xfrm>
          <a:off x="10824210" y="121920"/>
          <a:ext cx="5120640" cy="4451985"/>
          <a:chOff x="10824210" y="121920"/>
          <a:chExt cx="5120640" cy="4451985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226534B3-5D7A-4C78-5C2F-AC62D3EBA1FB}"/>
              </a:ext>
            </a:extLst>
          </xdr:cNvPr>
          <xdr:cNvGraphicFramePr/>
        </xdr:nvGraphicFramePr>
        <xdr:xfrm>
          <a:off x="10824210" y="121920"/>
          <a:ext cx="5120640" cy="445198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712E6E50-2E8D-E081-A09B-560E3CA508FD}"/>
              </a:ext>
            </a:extLst>
          </xdr:cNvPr>
          <xdr:cNvSpPr txBox="1"/>
        </xdr:nvSpPr>
        <xdr:spPr>
          <a:xfrm>
            <a:off x="11925301" y="866775"/>
            <a:ext cx="647699" cy="228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900">
                <a:solidFill>
                  <a:srgbClr val="FF0000"/>
                </a:solidFill>
              </a:rPr>
              <a:t>+59 units</a:t>
            </a:r>
          </a:p>
          <a:p>
            <a:endParaRPr 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1E7FAD09-8811-4DC6-8BAD-8E7C308461AF}"/>
              </a:ext>
            </a:extLst>
          </xdr:cNvPr>
          <xdr:cNvSpPr txBox="1"/>
        </xdr:nvSpPr>
        <xdr:spPr>
          <a:xfrm>
            <a:off x="12753976" y="2286000"/>
            <a:ext cx="647699" cy="228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900">
                <a:solidFill>
                  <a:srgbClr val="FF0000"/>
                </a:solidFill>
              </a:rPr>
              <a:t>+28 units</a:t>
            </a:r>
          </a:p>
          <a:p>
            <a:endParaRPr lang="en-US" sz="1100"/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E6777FA5-73CF-4FE8-9589-2CB9D4185E60}"/>
              </a:ext>
            </a:extLst>
          </xdr:cNvPr>
          <xdr:cNvSpPr txBox="1"/>
        </xdr:nvSpPr>
        <xdr:spPr>
          <a:xfrm>
            <a:off x="13515976" y="1657350"/>
            <a:ext cx="647699" cy="228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900">
                <a:solidFill>
                  <a:srgbClr val="FF0000"/>
                </a:solidFill>
              </a:rPr>
              <a:t>+8 units</a:t>
            </a:r>
          </a:p>
          <a:p>
            <a:endParaRPr lang="en-US" sz="1100"/>
          </a:p>
        </xdr:txBody>
      </xdr:sp>
    </xdr:grp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0.419</cdr:x>
      <cdr:y>0.59226</cdr:y>
    </cdr:from>
    <cdr:to>
      <cdr:x>0.45997</cdr:x>
      <cdr:y>0.66394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CE8ADB1A-8778-CCE5-1A74-96AA44346EC4}"/>
            </a:ext>
          </a:extLst>
        </cdr:cNvPr>
        <cdr:cNvCxnSpPr/>
      </cdr:nvCxnSpPr>
      <cdr:spPr>
        <a:xfrm xmlns:a="http://schemas.openxmlformats.org/drawingml/2006/main" flipV="1">
          <a:off x="2150154" y="2677773"/>
          <a:ext cx="210207" cy="324069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3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2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0.2608</cdr:x>
      <cdr:y>0.27262</cdr:y>
    </cdr:from>
    <cdr:to>
      <cdr:x>0.30635</cdr:x>
      <cdr:y>0.37155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01702B61-2F8E-3CA5-86BA-D07BAA3F722F}"/>
            </a:ext>
          </a:extLst>
        </cdr:cNvPr>
        <cdr:cNvCxnSpPr/>
      </cdr:nvCxnSpPr>
      <cdr:spPr>
        <a:xfrm xmlns:a="http://schemas.openxmlformats.org/drawingml/2006/main" flipV="1">
          <a:off x="1338317" y="1232601"/>
          <a:ext cx="233768" cy="447302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3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2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0.57315</cdr:x>
      <cdr:y>0.43728</cdr:y>
    </cdr:from>
    <cdr:to>
      <cdr:x>0.60675</cdr:x>
      <cdr:y>0.46841</cdr:y>
    </cdr:to>
    <cdr:cxnSp macro="">
      <cdr:nvCxnSpPr>
        <cdr:cNvPr id="9" name="Straight Arrow Connector 8">
          <a:extLst xmlns:a="http://schemas.openxmlformats.org/drawingml/2006/main">
            <a:ext uri="{FF2B5EF4-FFF2-40B4-BE49-F238E27FC236}">
              <a16:creationId xmlns:a16="http://schemas.microsoft.com/office/drawing/2014/main" id="{D114972B-CE21-023D-36F7-2776CBB658B4}"/>
            </a:ext>
          </a:extLst>
        </cdr:cNvPr>
        <cdr:cNvCxnSpPr/>
      </cdr:nvCxnSpPr>
      <cdr:spPr>
        <a:xfrm xmlns:a="http://schemas.openxmlformats.org/drawingml/2006/main" flipV="1">
          <a:off x="2941146" y="1977084"/>
          <a:ext cx="172457" cy="140751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3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2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0.93961400463" createdVersion="8" refreshedVersion="8" minRefreshableVersion="3" recordCount="49" xr:uid="{26CDE93B-FB62-41BC-A114-E6D46E24636B}">
  <cacheSource type="worksheet">
    <worksheetSource ref="A4:M53" sheet="Purchase"/>
  </cacheSource>
  <cacheFields count="13">
    <cacheField name="DATE " numFmtId="14">
      <sharedItems containsSemiMixedTypes="0" containsNonDate="0" containsDate="1" containsString="0" minDate="2025-01-01T00:00:00" maxDate="2025-03-28T00:00:00"/>
    </cacheField>
    <cacheField name="Order No." numFmtId="0">
      <sharedItems containsSemiMixedTypes="0" containsString="0" containsNumber="1" containsInteger="1" minValue="1" maxValue="13"/>
    </cacheField>
    <cacheField name="Invoice No." numFmtId="0">
      <sharedItems containsMixedTypes="1" containsNumber="1" containsInteger="1" minValue="87" maxValue="4211"/>
    </cacheField>
    <cacheField name="Party Name" numFmtId="0">
      <sharedItems/>
    </cacheField>
    <cacheField name="Place of supply" numFmtId="0">
      <sharedItems/>
    </cacheField>
    <cacheField name="Description of good " numFmtId="0">
      <sharedItems/>
    </cacheField>
    <cacheField name="Category " numFmtId="0">
      <sharedItems count="5">
        <s v="Print"/>
        <s v="Brush"/>
        <s v="Handwork"/>
        <s v="Others"/>
        <s v="Woven"/>
      </sharedItems>
    </cacheField>
    <cacheField name="HSN/SAC Code" numFmtId="0">
      <sharedItems containsSemiMixedTypes="0" containsString="0" containsNumber="1" containsInteger="1" minValue="5408" maxValue="540824"/>
    </cacheField>
    <cacheField name="Quantity(Pcs.)" numFmtId="0">
      <sharedItems containsSemiMixedTypes="0" containsString="0" containsNumber="1" containsInteger="1" minValue="2" maxValue="115"/>
    </cacheField>
    <cacheField name="Price" numFmtId="0">
      <sharedItems containsSemiMixedTypes="0" containsString="0" containsNumber="1" containsInteger="1" minValue="395" maxValue="3450"/>
    </cacheField>
    <cacheField name="Amount" numFmtId="0">
      <sharedItems containsSemiMixedTypes="0" containsString="0" containsNumber="1" containsInteger="1" minValue="1600" maxValue="47725"/>
    </cacheField>
    <cacheField name="Discount(5%)" numFmtId="0">
      <sharedItems containsSemiMixedTypes="0" containsString="0" containsNumber="1" minValue="0" maxValue="2386.25"/>
    </cacheField>
    <cacheField name="Total Amount" numFmtId="0">
      <sharedItems containsSemiMixedTypes="0" containsString="0" containsNumber="1" minValue="1520" maxValue="45338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20.916876157411" backgroundQuery="1" createdVersion="8" refreshedVersion="8" minRefreshableVersion="3" recordCount="0" supportSubquery="1" supportAdvancedDrill="1" xr:uid="{70FFD527-DEF9-4883-8D86-6A2E57968937}">
  <cacheSource type="external" connectionId="1"/>
  <cacheFields count="4">
    <cacheField name="[Range].[Category].[Category]" caption="Category" numFmtId="0" hierarchy="6" level="1">
      <sharedItems count="5">
        <s v="Brush"/>
        <s v="Handwork"/>
        <s v="Others"/>
        <s v="Print"/>
        <s v="Woven"/>
      </sharedItems>
    </cacheField>
    <cacheField name="[Measures].[Sum of Quantity (Pcs.)]" caption="Sum of Quantity (Pcs.)" numFmtId="0" hierarchy="17" level="32767"/>
    <cacheField name="[Measures].[Sum of Total Amount]" caption="Sum of Total Amount" numFmtId="0" hierarchy="19" level="32767"/>
    <cacheField name="[Measures].[Average of Price]" caption="Average of Price" numFmtId="0" hierarchy="21" level="32767"/>
  </cacheFields>
  <cacheHierarchies count="31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Order No.]" caption="Order No." attribute="1" defaultMemberUniqueName="[Range].[Order No.].[All]" allUniqueName="[Range].[Order No.].[All]" dimensionUniqueName="[Range]" displayFolder="" count="0" memberValueDatatype="20" unbalanced="0"/>
    <cacheHierarchy uniqueName="[Range].[Invoice No.]" caption="Invoice No." attribute="1" defaultMemberUniqueName="[Range].[Invoice No.].[All]" allUniqueName="[Range].[Invoice No.].[All]" dimensionUniqueName="[Range]" displayFolder="" count="0" memberValueDatatype="20" unbalanced="0"/>
    <cacheHierarchy uniqueName="[Range].[Party Name]" caption="Party Name" attribute="1" defaultMemberUniqueName="[Range].[Party Name].[All]" allUniqueName="[Range].[Party Name].[All]" dimensionUniqueName="[Range]" displayFolder="" count="0" memberValueDatatype="130" unbalanced="0"/>
    <cacheHierarchy uniqueName="[Range].[Place of supply]" caption="Place of supply" attribute="1" defaultMemberUniqueName="[Range].[Place of supply].[All]" allUniqueName="[Range].[Place of supply].[All]" dimensionUniqueName="[Range]" displayFolder="" count="0" memberValueDatatype="130" unbalanced="0"/>
    <cacheHierarchy uniqueName="[Range].[Description of good]" caption="Description of good" attribute="1" defaultMemberUniqueName="[Range].[Description of good].[All]" allUniqueName="[Range].[Description of goo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HSN/SAC Code]" caption="HSN/SAC Code" attribute="1" defaultMemberUniqueName="[Range].[HSN/SAC Code].[All]" allUniqueName="[Range].[HSN/SAC Code].[All]" dimensionUniqueName="[Range]" displayFolder="" count="0" memberValueDatatype="20" unbalanced="0"/>
    <cacheHierarchy uniqueName="[Range].[Quantity (Pcs.)]" caption="Quantity (Pcs.)" attribute="1" defaultMemberUniqueName="[Range].[Quantity (Pcs.)].[All]" allUniqueName="[Range].[Quantity (Pcs.)].[All]" dimensionUniqueName="[Range]" displayFolder="" count="0" memberValueDatatype="20" unbalanced="0"/>
    <cacheHierarchy uniqueName="[Range].[Price]" caption="Price" attribute="1" defaultMemberUniqueName="[Range].[Price].[All]" allUniqueName="[Range].[Price].[All]" dimensionUniqueName="[Range]" displayFolder="" count="0" memberValueDatatype="20" unbalanced="0"/>
    <cacheHierarchy uniqueName="[Range].[Amount]" caption="Amount" attribute="1" defaultMemberUniqueName="[Range].[Amount].[All]" allUniqueName="[Range].[Amount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Total Amount]" caption="Total Amount" attribute="1" defaultMemberUniqueName="[Range].[Total Amount].[All]" allUniqueName="[Range].[Total Amount].[All]" dimensionUniqueName="[Range]" displayFolder="" count="0" memberValueDatatype="5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Quantity (Pcs.)]" caption="Sum of Quantity (Pcs.)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mount]" caption="Sum of Amount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 Amount]" caption="Sum of Total Amoun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Price]" caption="Sum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ice]" caption="Average of Price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ategory]" caption="Count of Category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Invoice No.]" caption="Sum of Invoice No.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Invoice No.]" caption="Count of Invoice No.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Place of supply]" caption="Count of Place of suppl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Quantity (Pcs.)]" caption="Min of Quantity (Pcs.)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Quantity (Pcs.)]" caption="Max of Quantity (Pcs.)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tdDev of Quantity (Pcs.)]" caption="StdDev of Quantity (Pcs.)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 (Pcs.)]" caption="Average of Quantity (Pcs.)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Description of good]" caption="Count of Description of good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20.917496180555" backgroundQuery="1" createdVersion="8" refreshedVersion="8" minRefreshableVersion="3" recordCount="0" supportSubquery="1" supportAdvancedDrill="1" xr:uid="{25EE4F6C-CB6B-439B-A299-8676ED052A1E}">
  <cacheSource type="external" connectionId="1"/>
  <cacheFields count="4">
    <cacheField name="[Range].[DATE (Month)].[DATE (Month)]" caption="DATE (Month)" numFmtId="0" hierarchy="13" level="1">
      <sharedItems count="3">
        <s v="Jan"/>
        <s v="Feb"/>
        <s v="Mar"/>
      </sharedItems>
    </cacheField>
    <cacheField name="[Measures].[Sum of Quantity (Pcs.)]" caption="Sum of Quantity (Pcs.)" numFmtId="0" hierarchy="17" level="32767"/>
    <cacheField name="[Measures].[Sum of Total Amount]" caption="Sum of Total Amount" numFmtId="0" hierarchy="19" level="32767"/>
    <cacheField name="[Measures].[Count of Invoice No.]" caption="Count of Invoice No." numFmtId="0" hierarchy="24" level="32767"/>
  </cacheFields>
  <cacheHierarchies count="31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Order No.]" caption="Order No." attribute="1" defaultMemberUniqueName="[Range].[Order No.].[All]" allUniqueName="[Range].[Order No.].[All]" dimensionUniqueName="[Range]" displayFolder="" count="0" memberValueDatatype="20" unbalanced="0"/>
    <cacheHierarchy uniqueName="[Range].[Invoice No.]" caption="Invoice No." attribute="1" defaultMemberUniqueName="[Range].[Invoice No.].[All]" allUniqueName="[Range].[Invoice No.].[All]" dimensionUniqueName="[Range]" displayFolder="" count="0" memberValueDatatype="20" unbalanced="0"/>
    <cacheHierarchy uniqueName="[Range].[Party Name]" caption="Party Name" attribute="1" defaultMemberUniqueName="[Range].[Party Name].[All]" allUniqueName="[Range].[Party Name].[All]" dimensionUniqueName="[Range]" displayFolder="" count="0" memberValueDatatype="130" unbalanced="0"/>
    <cacheHierarchy uniqueName="[Range].[Place of supply]" caption="Place of supply" attribute="1" defaultMemberUniqueName="[Range].[Place of supply].[All]" allUniqueName="[Range].[Place of supply].[All]" dimensionUniqueName="[Range]" displayFolder="" count="0" memberValueDatatype="130" unbalanced="0"/>
    <cacheHierarchy uniqueName="[Range].[Description of good]" caption="Description of good" attribute="1" defaultMemberUniqueName="[Range].[Description of good].[All]" allUniqueName="[Range].[Description of goo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HSN/SAC Code]" caption="HSN/SAC Code" attribute="1" defaultMemberUniqueName="[Range].[HSN/SAC Code].[All]" allUniqueName="[Range].[HSN/SAC Code].[All]" dimensionUniqueName="[Range]" displayFolder="" count="0" memberValueDatatype="20" unbalanced="0"/>
    <cacheHierarchy uniqueName="[Range].[Quantity (Pcs.)]" caption="Quantity (Pcs.)" attribute="1" defaultMemberUniqueName="[Range].[Quantity (Pcs.)].[All]" allUniqueName="[Range].[Quantity (Pcs.)].[All]" dimensionUniqueName="[Range]" displayFolder="" count="0" memberValueDatatype="20" unbalanced="0"/>
    <cacheHierarchy uniqueName="[Range].[Price]" caption="Price" attribute="1" defaultMemberUniqueName="[Range].[Price].[All]" allUniqueName="[Range].[Price].[All]" dimensionUniqueName="[Range]" displayFolder="" count="0" memberValueDatatype="20" unbalanced="0"/>
    <cacheHierarchy uniqueName="[Range].[Amount]" caption="Amount" attribute="1" defaultMemberUniqueName="[Range].[Amount].[All]" allUniqueName="[Range].[Amount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Total Amount]" caption="Total Amount" attribute="1" defaultMemberUniqueName="[Range].[Total Amount].[All]" allUniqueName="[Range].[Total Amount].[All]" dimensionUniqueName="[Range]" displayFolder="" count="0" memberValueDatatype="5" unbalanced="0"/>
    <cacheHierarchy uniqueName="[Range].[DATE (Month)]" caption="DATE (Month)" attribute="1" defaultMemberUniqueName="[Range].[DATE (Month)].[All]" allUniqueName="[Range].[DATE (Month)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Quantity (Pcs.)]" caption="Sum of Quantity (Pcs.)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mount]" caption="Sum of Amount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 Amount]" caption="Sum of Total Amoun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Price]" caption="Sum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ice]" caption="Average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ategory]" caption="Count of Category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Invoice No.]" caption="Sum of Invoice No.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Invoice No.]" caption="Count of Invoice No.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Place of supply]" caption="Count of Place of suppl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Quantity (Pcs.)]" caption="Min of Quantity (Pcs.)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Quantity (Pcs.)]" caption="Max of Quantity (Pcs.)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tdDev of Quantity (Pcs.)]" caption="StdDev of Quantity (Pcs.)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 (Pcs.)]" caption="Average of Quantity (Pcs.)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Description of good]" caption="Count of Description of good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20.931528240741" backgroundQuery="1" createdVersion="8" refreshedVersion="8" minRefreshableVersion="3" recordCount="0" supportSubquery="1" supportAdvancedDrill="1" xr:uid="{99D50CE0-01FD-49DE-A16A-3E3BC89064BD}">
  <cacheSource type="external" connectionId="1"/>
  <cacheFields count="5">
    <cacheField name="[Range].[Party Name].[Party Name]" caption="Party Name" numFmtId="0" hierarchy="3" level="1">
      <sharedItems count="4">
        <s v="Kanchan A Mewara"/>
        <s v="Lucky Silk Store"/>
        <s v="Pamecha cloth centre"/>
        <s v="Shyam Silk Store"/>
      </sharedItems>
    </cacheField>
    <cacheField name="[Measures].[Count of Place of supply]" caption="Count of Place of supply" numFmtId="0" hierarchy="25" level="32767"/>
    <cacheField name="[Measures].[Sum of Quantity (Pcs.)]" caption="Sum of Quantity (Pcs.)" numFmtId="0" hierarchy="17" level="32767"/>
    <cacheField name="[Measures].[Sum of Total Amount]" caption="Sum of Total Amount" numFmtId="0" hierarchy="19" level="32767"/>
    <cacheField name="[Measures].[Count of Invoice No.]" caption="Count of Invoice No." numFmtId="0" hierarchy="24" level="32767"/>
  </cacheFields>
  <cacheHierarchies count="31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Order No.]" caption="Order No." attribute="1" defaultMemberUniqueName="[Range].[Order No.].[All]" allUniqueName="[Range].[Order No.].[All]" dimensionUniqueName="[Range]" displayFolder="" count="0" memberValueDatatype="20" unbalanced="0"/>
    <cacheHierarchy uniqueName="[Range].[Invoice No.]" caption="Invoice No." attribute="1" defaultMemberUniqueName="[Range].[Invoice No.].[All]" allUniqueName="[Range].[Invoice No.].[All]" dimensionUniqueName="[Range]" displayFolder="" count="0" memberValueDatatype="20" unbalanced="0"/>
    <cacheHierarchy uniqueName="[Range].[Party Name]" caption="Party Name" attribute="1" defaultMemberUniqueName="[Range].[Party Name].[All]" allUniqueName="[Range].[Party 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lace of supply]" caption="Place of supply" attribute="1" defaultMemberUniqueName="[Range].[Place of supply].[All]" allUniqueName="[Range].[Place of supply].[All]" dimensionUniqueName="[Range]" displayFolder="" count="0" memberValueDatatype="130" unbalanced="0"/>
    <cacheHierarchy uniqueName="[Range].[Description of good]" caption="Description of good" attribute="1" defaultMemberUniqueName="[Range].[Description of good].[All]" allUniqueName="[Range].[Description of goo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HSN/SAC Code]" caption="HSN/SAC Code" attribute="1" defaultMemberUniqueName="[Range].[HSN/SAC Code].[All]" allUniqueName="[Range].[HSN/SAC Code].[All]" dimensionUniqueName="[Range]" displayFolder="" count="0" memberValueDatatype="20" unbalanced="0"/>
    <cacheHierarchy uniqueName="[Range].[Quantity (Pcs.)]" caption="Quantity (Pcs.)" attribute="1" defaultMemberUniqueName="[Range].[Quantity (Pcs.)].[All]" allUniqueName="[Range].[Quantity (Pcs.)].[All]" dimensionUniqueName="[Range]" displayFolder="" count="0" memberValueDatatype="20" unbalanced="0"/>
    <cacheHierarchy uniqueName="[Range].[Price]" caption="Price" attribute="1" defaultMemberUniqueName="[Range].[Price].[All]" allUniqueName="[Range].[Price].[All]" dimensionUniqueName="[Range]" displayFolder="" count="0" memberValueDatatype="20" unbalanced="0"/>
    <cacheHierarchy uniqueName="[Range].[Amount]" caption="Amount" attribute="1" defaultMemberUniqueName="[Range].[Amount].[All]" allUniqueName="[Range].[Amount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Total Amount]" caption="Total Amount" attribute="1" defaultMemberUniqueName="[Range].[Total Amount].[All]" allUniqueName="[Range].[Total Amount].[All]" dimensionUniqueName="[Range]" displayFolder="" count="0" memberValueDatatype="5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Quantity (Pcs.)]" caption="Sum of Quantity (Pcs.)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mount]" caption="Sum of Amount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 Amount]" caption="Sum of Total Amount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Price]" caption="Sum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ice]" caption="Average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ategory]" caption="Count of Category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Invoice No.]" caption="Sum of Invoice No.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Invoice No.]" caption="Count of Invoice No.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Place of supply]" caption="Count of Place of supply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Quantity (Pcs.)]" caption="Min of Quantity (Pcs.)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Quantity (Pcs.)]" caption="Max of Quantity (Pcs.)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tdDev of Quantity (Pcs.)]" caption="StdDev of Quantity (Pcs.)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 (Pcs.)]" caption="Average of Quantity (Pcs.)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Description of good]" caption="Count of Description of good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20.94169965278" backgroundQuery="1" createdVersion="8" refreshedVersion="8" minRefreshableVersion="3" recordCount="0" supportSubquery="1" supportAdvancedDrill="1" xr:uid="{034A9BED-7F0A-475C-AA01-A9C2DD3F3D41}">
  <cacheSource type="external" connectionId="1"/>
  <cacheFields count="3">
    <cacheField name="[Range].[Category].[Category]" caption="Category" numFmtId="0" hierarchy="6" level="1">
      <sharedItems count="5">
        <s v="Brush"/>
        <s v="Handwork"/>
        <s v="Others"/>
        <s v="Print"/>
        <s v="Woven"/>
      </sharedItems>
    </cacheField>
    <cacheField name="[Measures].[Sum of Quantity (Pcs.)]" caption="Sum of Quantity (Pcs.)" numFmtId="0" hierarchy="17" level="32767"/>
    <cacheField name="[Measures].[Sum of Total Amount]" caption="Sum of Total Amount" numFmtId="0" hierarchy="19" level="32767"/>
  </cacheFields>
  <cacheHierarchies count="31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Order No.]" caption="Order No." attribute="1" defaultMemberUniqueName="[Range].[Order No.].[All]" allUniqueName="[Range].[Order No.].[All]" dimensionUniqueName="[Range]" displayFolder="" count="0" memberValueDatatype="20" unbalanced="0"/>
    <cacheHierarchy uniqueName="[Range].[Invoice No.]" caption="Invoice No." attribute="1" defaultMemberUniqueName="[Range].[Invoice No.].[All]" allUniqueName="[Range].[Invoice No.].[All]" dimensionUniqueName="[Range]" displayFolder="" count="0" memberValueDatatype="20" unbalanced="0"/>
    <cacheHierarchy uniqueName="[Range].[Party Name]" caption="Party Name" attribute="1" defaultMemberUniqueName="[Range].[Party Name].[All]" allUniqueName="[Range].[Party Name].[All]" dimensionUniqueName="[Range]" displayFolder="" count="0" memberValueDatatype="130" unbalanced="0"/>
    <cacheHierarchy uniqueName="[Range].[Place of supply]" caption="Place of supply" attribute="1" defaultMemberUniqueName="[Range].[Place of supply].[All]" allUniqueName="[Range].[Place of supply].[All]" dimensionUniqueName="[Range]" displayFolder="" count="0" memberValueDatatype="130" unbalanced="0"/>
    <cacheHierarchy uniqueName="[Range].[Description of good]" caption="Description of good" attribute="1" defaultMemberUniqueName="[Range].[Description of good].[All]" allUniqueName="[Range].[Description of goo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HSN/SAC Code]" caption="HSN/SAC Code" attribute="1" defaultMemberUniqueName="[Range].[HSN/SAC Code].[All]" allUniqueName="[Range].[HSN/SAC Code].[All]" dimensionUniqueName="[Range]" displayFolder="" count="0" memberValueDatatype="20" unbalanced="0"/>
    <cacheHierarchy uniqueName="[Range].[Quantity (Pcs.)]" caption="Quantity (Pcs.)" attribute="1" defaultMemberUniqueName="[Range].[Quantity (Pcs.)].[All]" allUniqueName="[Range].[Quantity (Pcs.)].[All]" dimensionUniqueName="[Range]" displayFolder="" count="0" memberValueDatatype="20" unbalanced="0"/>
    <cacheHierarchy uniqueName="[Range].[Price]" caption="Price" attribute="1" defaultMemberUniqueName="[Range].[Price].[All]" allUniqueName="[Range].[Price].[All]" dimensionUniqueName="[Range]" displayFolder="" count="0" memberValueDatatype="20" unbalanced="0"/>
    <cacheHierarchy uniqueName="[Range].[Amount]" caption="Amount" attribute="1" defaultMemberUniqueName="[Range].[Amount].[All]" allUniqueName="[Range].[Amount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Total Amount]" caption="Total Amount" attribute="1" defaultMemberUniqueName="[Range].[Total Amount].[All]" allUniqueName="[Range].[Total Amount].[All]" dimensionUniqueName="[Range]" displayFolder="" count="0" memberValueDatatype="5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Quantity (Pcs.)]" caption="Sum of Quantity (Pcs.)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mount]" caption="Sum of Amount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 Amount]" caption="Sum of Total Amoun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Price]" caption="Sum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ice]" caption="Average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ategory]" caption="Count of Category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Invoice No.]" caption="Sum of Invoice No.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Invoice No.]" caption="Count of Invoice No.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Place of supply]" caption="Count of Place of suppl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Quantity (Pcs.)]" caption="Min of Quantity (Pcs.)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Quantity (Pcs.)]" caption="Max of Quantity (Pcs.)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tdDev of Quantity (Pcs.)]" caption="StdDev of Quantity (Pcs.)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 (Pcs.)]" caption="Average of Quantity (Pcs.)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Description of good]" caption="Count of Description of good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44.791254166666" backgroundQuery="1" createdVersion="8" refreshedVersion="8" minRefreshableVersion="3" recordCount="0" supportSubquery="1" supportAdvancedDrill="1" xr:uid="{21CB21AE-AB8C-4DF3-931E-0135845A021D}">
  <cacheSource type="external" connectionId="1"/>
  <cacheFields count="4">
    <cacheField name="[Range].[Description of good].[Description of good]" caption="Description of good" numFmtId="0" hierarchy="5" level="1">
      <sharedItems count="43">
        <s v="Ch. Brush-1190"/>
        <s v="Chamundi (SEQN BUTTI)"/>
        <s v="Chamundi (SEQN JAAL)"/>
        <s v="Chamundi Border"/>
        <s v="Chamundi Brush"/>
        <s v="Chamundi Brush HW"/>
        <s v="Chamundi Gota ari"/>
        <s v="Chamundi Gota Brush"/>
        <s v="Chamundi Gota paloo"/>
        <s v="Chamundi HW (cutdan br)"/>
        <s v="Chamundi HW (Kasab buta)"/>
        <s v="Chamundi HW (Kery buta)"/>
        <s v="Chamundi HW (Kery butti jaal)"/>
        <s v="Chamundi HW (Khajoor buta)"/>
        <s v="Chamundi HW (paan buta)"/>
        <s v="Chamundi Mukesh"/>
        <s v="Chamundi Mukesh Shaded"/>
        <s v="Chamundi print"/>
        <s v="Chamundi print (Flower)"/>
        <s v="Chamundi print HW"/>
        <s v="Chamundi print HW (Shaded dye nagin)"/>
        <s v="Chamundi PT (Fancy)"/>
        <s v="Chamundi PT (Kaani print)"/>
        <s v="Chamundi PT. -930"/>
        <s v="Chamundi Shaded"/>
        <s v="Chamundi Shaded (Fir Print)"/>
        <s v="Chiffon Plain Brush (Handwork)"/>
        <s v="Manjula -1390"/>
        <s v="Nylon Chiffon Jaq border"/>
        <s v="Nylon Chinon Piping(kaani print)"/>
        <s v="Saree"/>
        <s v="Saree (EBR)"/>
        <s v="Saree (P441 Vivanta)"/>
        <s v="Saree MS-114"/>
        <s v="Saree MS-115"/>
        <s v="Saree MS-130"/>
        <s v="Saree MS-14"/>
        <s v="Saree MS-54"/>
        <s v="Saree MS-55"/>
        <s v="Saree MS-56"/>
        <s v="Saree Nylon MS-129"/>
        <s v="Saree Nylon MS-157"/>
        <s v="Spray Brush Handwork"/>
      </sharedItems>
    </cacheField>
    <cacheField name="[Measures].[Sum of Quantity (Pcs.)]" caption="Sum of Quantity (Pcs.)" numFmtId="0" hierarchy="17" level="32767"/>
    <cacheField name="[Measures].[Sum of Total Amount]" caption="Sum of Total Amount" numFmtId="0" hierarchy="19" level="32767"/>
    <cacheField name="[Measures].[Count of Category]" caption="Count of Category" numFmtId="0" hierarchy="22" level="32767"/>
  </cacheFields>
  <cacheHierarchies count="31">
    <cacheHierarchy uniqueName="[Range].[DATE]" caption="DATE" attribute="1" time="1" defaultMemberUniqueName="[Range].[DATE].[All]" allUniqueName="[Range].[DATE].[All]" dimensionUniqueName="[Range]" displayFolder="" count="2" memberValueDatatype="7" unbalanced="0"/>
    <cacheHierarchy uniqueName="[Range].[Order No.]" caption="Order No." attribute="1" defaultMemberUniqueName="[Range].[Order No.].[All]" allUniqueName="[Range].[Order No.].[All]" dimensionUniqueName="[Range]" displayFolder="" count="0" memberValueDatatype="20" unbalanced="0"/>
    <cacheHierarchy uniqueName="[Range].[Invoice No.]" caption="Invoice No." attribute="1" defaultMemberUniqueName="[Range].[Invoice No.].[All]" allUniqueName="[Range].[Invoice No.].[All]" dimensionUniqueName="[Range]" displayFolder="" count="0" memberValueDatatype="20" unbalanced="0"/>
    <cacheHierarchy uniqueName="[Range].[Party Name]" caption="Party Name" attribute="1" defaultMemberUniqueName="[Range].[Party Name].[All]" allUniqueName="[Range].[Party Name].[All]" dimensionUniqueName="[Range]" displayFolder="" count="0" memberValueDatatype="130" unbalanced="0"/>
    <cacheHierarchy uniqueName="[Range].[Place of supply]" caption="Place of supply" attribute="1" defaultMemberUniqueName="[Range].[Place of supply].[All]" allUniqueName="[Range].[Place of supply].[All]" dimensionUniqueName="[Range]" displayFolder="" count="0" memberValueDatatype="130" unbalanced="0"/>
    <cacheHierarchy uniqueName="[Range].[Description of good]" caption="Description of good" attribute="1" defaultMemberUniqueName="[Range].[Description of good].[All]" allUniqueName="[Range].[Description of good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HSN/SAC Code]" caption="HSN/SAC Code" attribute="1" defaultMemberUniqueName="[Range].[HSN/SAC Code].[All]" allUniqueName="[Range].[HSN/SAC Code].[All]" dimensionUniqueName="[Range]" displayFolder="" count="0" memberValueDatatype="20" unbalanced="0"/>
    <cacheHierarchy uniqueName="[Range].[Quantity (Pcs.)]" caption="Quantity (Pcs.)" attribute="1" defaultMemberUniqueName="[Range].[Quantity (Pcs.)].[All]" allUniqueName="[Range].[Quantity (Pcs.)].[All]" dimensionUniqueName="[Range]" displayFolder="" count="0" memberValueDatatype="20" unbalanced="0"/>
    <cacheHierarchy uniqueName="[Range].[Price]" caption="Price" attribute="1" defaultMemberUniqueName="[Range].[Price].[All]" allUniqueName="[Range].[Price].[All]" dimensionUniqueName="[Range]" displayFolder="" count="0" memberValueDatatype="20" unbalanced="0"/>
    <cacheHierarchy uniqueName="[Range].[Amount]" caption="Amount" attribute="1" defaultMemberUniqueName="[Range].[Amount].[All]" allUniqueName="[Range].[Amount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Total Amount]" caption="Total Amount" attribute="1" defaultMemberUniqueName="[Range].[Total Amount].[All]" allUniqueName="[Range].[Total Amount].[All]" dimensionUniqueName="[Range]" displayFolder="" count="0" memberValueDatatype="5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Quantity (Pcs.)]" caption="Sum of Quantity (Pcs.)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mount]" caption="Sum of Amount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 Amount]" caption="Sum of Total Amoun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Price]" caption="Sum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ice]" caption="Average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ategory]" caption="Count of Category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Invoice No.]" caption="Sum of Invoice No.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Invoice No.]" caption="Count of Invoice No.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Place of supply]" caption="Count of Place of suppl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Quantity (Pcs.)]" caption="Min of Quantity (Pcs.)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Quantity (Pcs.)]" caption="Max of Quantity (Pcs.)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tdDev of Quantity (Pcs.)]" caption="StdDev of Quantity (Pcs.)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 (Pcs.)]" caption="Average of Quantity (Pcs.)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Description of good]" caption="Count of Description of good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44.799730671293" backgroundQuery="1" createdVersion="8" refreshedVersion="8" minRefreshableVersion="3" recordCount="0" supportSubquery="1" supportAdvancedDrill="1" xr:uid="{F03935B8-DACF-4F0E-9EBA-20C8A82D2669}">
  <cacheSource type="external" connectionId="1"/>
  <cacheFields count="2">
    <cacheField name="[Range].[Description of good].[Description of good]" caption="Description of good" numFmtId="0" hierarchy="5" level="1">
      <sharedItems count="43">
        <s v="Ch. Brush-1190"/>
        <s v="Chamundi (SEQN BUTTI)"/>
        <s v="Chamundi (SEQN JAAL)"/>
        <s v="Chamundi Border"/>
        <s v="Chamundi Brush"/>
        <s v="Chamundi Brush HW"/>
        <s v="Chamundi Gota ari"/>
        <s v="Chamundi Gota Brush"/>
        <s v="Chamundi Gota paloo"/>
        <s v="Chamundi HW (cutdan br)"/>
        <s v="Chamundi HW (Kasab buta)"/>
        <s v="Chamundi HW (Kery buta)"/>
        <s v="Chamundi HW (Kery butti jaal)"/>
        <s v="Chamundi HW (Khajoor buta)"/>
        <s v="Chamundi HW (paan buta)"/>
        <s v="Chamundi Mukesh"/>
        <s v="Chamundi Mukesh Shaded"/>
        <s v="Chamundi print"/>
        <s v="Chamundi print (Flower)"/>
        <s v="Chamundi print HW"/>
        <s v="Chamundi print HW (Shaded dye nagin)"/>
        <s v="Chamundi PT (Fancy)"/>
        <s v="Chamundi PT (Kaani print)"/>
        <s v="Chamundi PT. -930"/>
        <s v="Chamundi Shaded"/>
        <s v="Chamundi Shaded (Fir Print)"/>
        <s v="Chiffon Plain Brush (Handwork)"/>
        <s v="Manjula -1390"/>
        <s v="Nylon Chiffon Jaq border"/>
        <s v="Nylon Chinon Piping(kaani print)"/>
        <s v="Saree"/>
        <s v="Saree (EBR)"/>
        <s v="Saree (P441 Vivanta)"/>
        <s v="Saree MS-114"/>
        <s v="Saree MS-115"/>
        <s v="Saree MS-130"/>
        <s v="Saree MS-14"/>
        <s v="Saree MS-54"/>
        <s v="Saree MS-55"/>
        <s v="Saree MS-56"/>
        <s v="Saree Nylon MS-129"/>
        <s v="Saree Nylon MS-157"/>
        <s v="Spray Brush Handwork"/>
      </sharedItems>
    </cacheField>
    <cacheField name="[Measures].[Sum of Quantity (Pcs.)]" caption="Sum of Quantity (Pcs.)" numFmtId="0" hierarchy="17" level="32767"/>
  </cacheFields>
  <cacheHierarchies count="31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Order No.]" caption="Order No." attribute="1" defaultMemberUniqueName="[Range].[Order No.].[All]" allUniqueName="[Range].[Order No.].[All]" dimensionUniqueName="[Range]" displayFolder="" count="0" memberValueDatatype="20" unbalanced="0"/>
    <cacheHierarchy uniqueName="[Range].[Invoice No.]" caption="Invoice No." attribute="1" defaultMemberUniqueName="[Range].[Invoice No.].[All]" allUniqueName="[Range].[Invoice No.].[All]" dimensionUniqueName="[Range]" displayFolder="" count="0" memberValueDatatype="20" unbalanced="0"/>
    <cacheHierarchy uniqueName="[Range].[Party Name]" caption="Party Name" attribute="1" defaultMemberUniqueName="[Range].[Party Name].[All]" allUniqueName="[Range].[Party Name].[All]" dimensionUniqueName="[Range]" displayFolder="" count="0" memberValueDatatype="130" unbalanced="0"/>
    <cacheHierarchy uniqueName="[Range].[Place of supply]" caption="Place of supply" attribute="1" defaultMemberUniqueName="[Range].[Place of supply].[All]" allUniqueName="[Range].[Place of supply].[All]" dimensionUniqueName="[Range]" displayFolder="" count="0" memberValueDatatype="130" unbalanced="0"/>
    <cacheHierarchy uniqueName="[Range].[Description of good]" caption="Description of good" attribute="1" defaultMemberUniqueName="[Range].[Description of good].[All]" allUniqueName="[Range].[Description of good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HSN/SAC Code]" caption="HSN/SAC Code" attribute="1" defaultMemberUniqueName="[Range].[HSN/SAC Code].[All]" allUniqueName="[Range].[HSN/SAC Code].[All]" dimensionUniqueName="[Range]" displayFolder="" count="0" memberValueDatatype="20" unbalanced="0"/>
    <cacheHierarchy uniqueName="[Range].[Quantity (Pcs.)]" caption="Quantity (Pcs.)" attribute="1" defaultMemberUniqueName="[Range].[Quantity (Pcs.)].[All]" allUniqueName="[Range].[Quantity (Pcs.)].[All]" dimensionUniqueName="[Range]" displayFolder="" count="0" memberValueDatatype="20" unbalanced="0"/>
    <cacheHierarchy uniqueName="[Range].[Price]" caption="Price" attribute="1" defaultMemberUniqueName="[Range].[Price].[All]" allUniqueName="[Range].[Price].[All]" dimensionUniqueName="[Range]" displayFolder="" count="0" memberValueDatatype="20" unbalanced="0"/>
    <cacheHierarchy uniqueName="[Range].[Amount]" caption="Amount" attribute="1" defaultMemberUniqueName="[Range].[Amount].[All]" allUniqueName="[Range].[Amount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Total Amount]" caption="Total Amount" attribute="1" defaultMemberUniqueName="[Range].[Total Amount].[All]" allUniqueName="[Range].[Total Amount].[All]" dimensionUniqueName="[Range]" displayFolder="" count="0" memberValueDatatype="5" unbalanced="0"/>
    <cacheHierarchy uniqueName="[Range].[DATE (Month)]" caption="DATE (Month)" attribute="1" defaultMemberUniqueName="[Range].[DATE (Month)].[All]" allUniqueName="[Range].[DATE (Month)].[All]" dimensionUniqueName="[Range]" displayFolder="" count="2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Quantity (Pcs.)]" caption="Sum of Quantity (Pcs.)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mount]" caption="Sum of Amount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otal Amount]" caption="Sum of Total Amount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Price]" caption="Sum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ice]" caption="Average of Pric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ategory]" caption="Count of Category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Invoice No.]" caption="Sum of Invoice No.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Invoice No.]" caption="Count of Invoice No.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Place of supply]" caption="Count of Place of supply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Quantity (Pcs.)]" caption="Min of Quantity (Pcs.)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Quantity (Pcs.)]" caption="Max of Quantity (Pcs.)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tdDev of Quantity (Pcs.)]" caption="StdDev of Quantity (Pcs.)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Quantity (Pcs.)]" caption="Average of Quantity (Pcs.)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Description of good]" caption="Count of Description of good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d v="2025-03-27T00:00:00"/>
    <n v="13"/>
    <n v="4211"/>
    <s v="Madhu Creations"/>
    <s v="Chandni Chowk"/>
    <s v="Chamundi PT. -930"/>
    <x v="0"/>
    <n v="540710"/>
    <n v="7"/>
    <n v="465"/>
    <n v="3255"/>
    <n v="162.75"/>
    <n v="3092.25"/>
  </r>
  <r>
    <d v="2025-03-27T00:00:00"/>
    <n v="13"/>
    <n v="4211"/>
    <s v="Madhu Creations"/>
    <s v="Chandni Chowk"/>
    <s v="CH. Brush- 1190"/>
    <x v="1"/>
    <n v="540710"/>
    <n v="5"/>
    <n v="595"/>
    <n v="2975"/>
    <n v="148.75"/>
    <n v="2826.25"/>
  </r>
  <r>
    <d v="2025-03-27T00:00:00"/>
    <n v="13"/>
    <n v="4211"/>
    <s v="Madhu Creations"/>
    <s v="Chandni Chowk"/>
    <s v="Manjula - 1390"/>
    <x v="0"/>
    <n v="540710"/>
    <n v="5"/>
    <n v="695"/>
    <n v="3475"/>
    <n v="173.75"/>
    <n v="3301.25"/>
  </r>
  <r>
    <d v="2025-03-27T00:00:00"/>
    <n v="12"/>
    <s v="1295/2024-25"/>
    <s v="Radhika Prints"/>
    <s v="Chandni Chowk"/>
    <s v="Chamundi PT (Kaani print)"/>
    <x v="0"/>
    <n v="540710"/>
    <n v="4"/>
    <n v="400"/>
    <n v="1600"/>
    <n v="80"/>
    <n v="1520"/>
  </r>
  <r>
    <d v="2025-03-27T00:00:00"/>
    <n v="12"/>
    <s v="1295/2024-25"/>
    <s v="Radhika Prints"/>
    <s v="Chandni Chowk"/>
    <s v="Chamundi PT (Fancy)"/>
    <x v="0"/>
    <n v="540710"/>
    <n v="6"/>
    <n v="425"/>
    <n v="2550"/>
    <n v="127.5"/>
    <n v="2422.5"/>
  </r>
  <r>
    <d v="2025-03-27T00:00:00"/>
    <n v="12"/>
    <s v="1295/2024-25"/>
    <s v="Radhika Prints"/>
    <s v="Chandni Chowk"/>
    <s v="Chamundi Brush"/>
    <x v="1"/>
    <n v="540710"/>
    <n v="4"/>
    <n v="500"/>
    <n v="2000"/>
    <n v="100"/>
    <n v="1900"/>
  </r>
  <r>
    <d v="2025-03-27T00:00:00"/>
    <n v="12"/>
    <s v="1295/2024-25"/>
    <s v="Radhika Prints"/>
    <s v="Chandni Chowk"/>
    <s v="Chamundi Gota Brush"/>
    <x v="1"/>
    <n v="540710"/>
    <n v="3"/>
    <n v="875"/>
    <n v="2625"/>
    <n v="131.25"/>
    <n v="2493.75"/>
  </r>
  <r>
    <d v="2025-03-27T00:00:00"/>
    <n v="12"/>
    <s v="1295/2024-25"/>
    <s v="Radhika Prints"/>
    <s v="Chandni Chowk"/>
    <s v="Chamundi Gota ari"/>
    <x v="2"/>
    <n v="540710"/>
    <n v="4"/>
    <n v="750"/>
    <n v="3000"/>
    <n v="150"/>
    <n v="2850"/>
  </r>
  <r>
    <d v="2025-03-27T00:00:00"/>
    <n v="12"/>
    <s v="1295/2024-25"/>
    <s v="Radhika Prints"/>
    <s v="Chandni Chowk"/>
    <s v="Chamundi Gota paloo"/>
    <x v="2"/>
    <n v="540710"/>
    <n v="4"/>
    <n v="695"/>
    <n v="2780"/>
    <n v="139"/>
    <n v="2641"/>
  </r>
  <r>
    <d v="2025-03-05T00:00:00"/>
    <n v="11"/>
    <s v="MS/24-25/2022"/>
    <s v="Malhotrason"/>
    <s v="Chandni Chowk"/>
    <s v="Saree MS-54"/>
    <x v="3"/>
    <n v="540821"/>
    <n v="4"/>
    <n v="850"/>
    <n v="3400"/>
    <n v="0"/>
    <n v="3400"/>
  </r>
  <r>
    <d v="2025-03-05T00:00:00"/>
    <n v="11"/>
    <s v="MS/24-25/2022"/>
    <s v="Malhotrason"/>
    <s v="Chandni Chowk"/>
    <s v="Saree MS-55"/>
    <x v="3"/>
    <n v="540821"/>
    <n v="9"/>
    <n v="900"/>
    <n v="8100"/>
    <n v="0"/>
    <n v="8100"/>
  </r>
  <r>
    <d v="2025-03-05T00:00:00"/>
    <n v="11"/>
    <s v="MS/24-25/2022"/>
    <s v="Malhotrason"/>
    <s v="Chandni Chowk"/>
    <s v="Saree MS-56"/>
    <x v="3"/>
    <n v="540821"/>
    <n v="23"/>
    <n v="900"/>
    <n v="20700"/>
    <n v="0"/>
    <n v="20700"/>
  </r>
  <r>
    <d v="2025-03-05T00:00:00"/>
    <n v="11"/>
    <s v="MS/24-25/2022"/>
    <s v="Malhotrason"/>
    <s v="Chandni Chowk"/>
    <s v="Saree MS-14"/>
    <x v="3"/>
    <n v="540821"/>
    <n v="20"/>
    <n v="1600"/>
    <n v="32000"/>
    <n v="0"/>
    <n v="32000"/>
  </r>
  <r>
    <d v="2025-02-18T00:00:00"/>
    <n v="10"/>
    <s v="1151/2024-25"/>
    <s v="Radhika Prints"/>
    <s v="Chandni Chowk"/>
    <s v="Chamundi Brush"/>
    <x v="1"/>
    <n v="540741"/>
    <n v="12"/>
    <n v="500"/>
    <n v="6000"/>
    <n v="300"/>
    <n v="5700"/>
  </r>
  <r>
    <d v="2025-02-18T00:00:00"/>
    <n v="10"/>
    <s v="1151/2024-25"/>
    <s v="Radhika Prints"/>
    <s v="Chandni Chowk"/>
    <s v="Chamundi Shaded (Fir Print)"/>
    <x v="0"/>
    <n v="540741"/>
    <n v="4"/>
    <n v="440"/>
    <n v="1760"/>
    <n v="88"/>
    <n v="1672"/>
  </r>
  <r>
    <d v="2025-02-18T00:00:00"/>
    <n v="10"/>
    <s v="1151/2024-25"/>
    <s v="Radhika Prints"/>
    <s v="Chandni Chowk"/>
    <s v="Chamundi print "/>
    <x v="0"/>
    <n v="540741"/>
    <n v="18"/>
    <n v="415"/>
    <n v="7470"/>
    <n v="373.5"/>
    <n v="7096.5"/>
  </r>
  <r>
    <d v="2025-02-18T00:00:00"/>
    <n v="10"/>
    <s v="1151/2024-25"/>
    <s v="Radhika Prints"/>
    <s v="Chandni Chowk"/>
    <s v="Chamundi print "/>
    <x v="0"/>
    <n v="540741"/>
    <n v="6"/>
    <n v="400"/>
    <n v="2400"/>
    <n v="120"/>
    <n v="2280"/>
  </r>
  <r>
    <d v="2025-02-12T00:00:00"/>
    <n v="9"/>
    <s v="1136/2024-25"/>
    <s v="Radhika Prints"/>
    <s v="Chandni Chowk"/>
    <s v="Chamundi print (Flower)"/>
    <x v="0"/>
    <n v="540741"/>
    <n v="115"/>
    <n v="415"/>
    <n v="47725"/>
    <n v="2386.25"/>
    <n v="45338.75"/>
  </r>
  <r>
    <d v="2025-02-12T00:00:00"/>
    <n v="9"/>
    <s v="1136/2024-25"/>
    <s v="Radhika Prints"/>
    <s v="Chandni Chowk"/>
    <s v="Chamundi Shaded"/>
    <x v="0"/>
    <n v="540741"/>
    <n v="15"/>
    <n v="440"/>
    <n v="6600"/>
    <n v="330"/>
    <n v="6270"/>
  </r>
  <r>
    <d v="2025-02-12T00:00:00"/>
    <n v="9"/>
    <s v="1136/2024-25"/>
    <s v="Radhika Prints"/>
    <s v="Chandni Chowk"/>
    <s v="Chamundi print HW"/>
    <x v="2"/>
    <n v="540741"/>
    <n v="34"/>
    <n v="725"/>
    <n v="24650"/>
    <n v="1232.5"/>
    <n v="23417.5"/>
  </r>
  <r>
    <d v="2025-02-12T00:00:00"/>
    <n v="9"/>
    <s v="1136/2024-25"/>
    <s v="Radhika Prints"/>
    <s v="Chandni Chowk"/>
    <s v="Chamundi print HW (Shaded dye nagin)"/>
    <x v="2"/>
    <n v="540741"/>
    <n v="10"/>
    <n v="950"/>
    <n v="9500"/>
    <n v="475"/>
    <n v="9025"/>
  </r>
  <r>
    <d v="2025-02-12T00:00:00"/>
    <n v="9"/>
    <s v="1136/2024-25"/>
    <s v="Radhika Prints"/>
    <s v="Chandni Chowk"/>
    <s v="Chamundi Gota ari"/>
    <x v="2"/>
    <n v="540741"/>
    <n v="9"/>
    <n v="825"/>
    <n v="7425"/>
    <n v="371.25"/>
    <n v="7053.75"/>
  </r>
  <r>
    <d v="2025-02-12T00:00:00"/>
    <n v="9"/>
    <s v="1136/2024-25"/>
    <s v="Radhika Prints"/>
    <s v="Chandni Chowk"/>
    <s v="Chamundi Gota ari"/>
    <x v="2"/>
    <n v="540741"/>
    <n v="9"/>
    <n v="925"/>
    <n v="8325"/>
    <n v="416.25"/>
    <n v="7908.75"/>
  </r>
  <r>
    <d v="2025-02-12T00:00:00"/>
    <n v="9"/>
    <s v="1136/2024-25"/>
    <s v="Radhika Prints"/>
    <s v="Chandni Chowk"/>
    <s v="Chiffon Plain Brush (Handwork)"/>
    <x v="2"/>
    <n v="540821"/>
    <n v="13"/>
    <n v="1550"/>
    <n v="20150"/>
    <n v="1007.5"/>
    <n v="19142.5"/>
  </r>
  <r>
    <d v="2025-02-08T00:00:00"/>
    <n v="8"/>
    <n v="99"/>
    <s v="Kadambini Enterprises"/>
    <s v="Chandni Chowk"/>
    <s v="Sarees"/>
    <x v="3"/>
    <n v="5408"/>
    <n v="14"/>
    <n v="975"/>
    <n v="13650"/>
    <n v="682.5"/>
    <n v="12967.5"/>
  </r>
  <r>
    <d v="2025-02-08T00:00:00"/>
    <n v="7"/>
    <n v="2299"/>
    <s v="Sant Lal &amp; Sons"/>
    <s v="Chandni Chowk"/>
    <s v="Spray Brush Handwork"/>
    <x v="2"/>
    <n v="540821"/>
    <n v="6"/>
    <n v="1095"/>
    <n v="6570"/>
    <n v="328.5"/>
    <n v="6241.5"/>
  </r>
  <r>
    <d v="2025-02-06T00:00:00"/>
    <n v="6"/>
    <s v="1115/2024-25"/>
    <s v="Radhika Prints"/>
    <s v="Chandni Chowk"/>
    <s v="Chamundi Mukesh"/>
    <x v="2"/>
    <n v="540741"/>
    <n v="65"/>
    <n v="395"/>
    <n v="25675"/>
    <n v="1283.75"/>
    <n v="24391.25"/>
  </r>
  <r>
    <d v="2025-02-06T00:00:00"/>
    <n v="6"/>
    <s v="1115/2024-25"/>
    <s v="Radhika Prints"/>
    <s v="Chandni Chowk"/>
    <s v="Chamundi Mukesh Shaded"/>
    <x v="2"/>
    <n v="540741"/>
    <n v="51"/>
    <n v="425"/>
    <n v="21675"/>
    <n v="1083.75"/>
    <n v="20591.25"/>
  </r>
  <r>
    <d v="2025-02-06T00:00:00"/>
    <n v="6"/>
    <s v="1115/2024-25"/>
    <s v="Radhika Prints"/>
    <s v="Chandni Chowk"/>
    <s v="Chamundi Brush HW"/>
    <x v="1"/>
    <n v="540741"/>
    <n v="14"/>
    <n v="995"/>
    <n v="13930"/>
    <n v="696.5"/>
    <n v="13233.5"/>
  </r>
  <r>
    <d v="2025-01-31T00:00:00"/>
    <n v="5"/>
    <s v="MS/24-25/1860"/>
    <s v="Malhotrason"/>
    <s v="Chandni Chowk"/>
    <s v="Saree Nylon MS-157"/>
    <x v="0"/>
    <n v="540710"/>
    <n v="17"/>
    <n v="950"/>
    <n v="16150"/>
    <n v="0"/>
    <n v="16150"/>
  </r>
  <r>
    <d v="2025-01-31T00:00:00"/>
    <n v="5"/>
    <s v="MS/24-25/1860"/>
    <s v="Malhotrason"/>
    <s v="Chandni Chowk"/>
    <s v="Saree MS-56"/>
    <x v="0"/>
    <n v="540821"/>
    <n v="22"/>
    <n v="900"/>
    <n v="19800"/>
    <n v="0"/>
    <n v="19800"/>
  </r>
  <r>
    <d v="2025-01-27T00:00:00"/>
    <n v="4"/>
    <s v="NB/24-25/947"/>
    <s v="Nikhar Bandhani"/>
    <s v="Chandni Chowk"/>
    <s v="Sarees"/>
    <x v="0"/>
    <n v="540824"/>
    <n v="6"/>
    <n v="1890"/>
    <n v="11340"/>
    <n v="0"/>
    <n v="11340"/>
  </r>
  <r>
    <d v="2025-01-27T00:00:00"/>
    <n v="4"/>
    <s v="NB/24-25/947"/>
    <s v="Nikhar Bandhani"/>
    <s v="Chandni Chowk"/>
    <s v="Sarees"/>
    <x v="0"/>
    <n v="540824"/>
    <n v="6"/>
    <n v="1950"/>
    <n v="11700"/>
    <n v="0"/>
    <n v="11700"/>
  </r>
  <r>
    <d v="2025-01-11T00:00:00"/>
    <n v="3"/>
    <n v="87"/>
    <s v="Kadambini Enterprises"/>
    <s v="Chandni Chowk"/>
    <s v="Sarees "/>
    <x v="3"/>
    <n v="5408"/>
    <n v="17"/>
    <n v="1550"/>
    <n v="26350"/>
    <n v="1317.5"/>
    <n v="25032.5"/>
  </r>
  <r>
    <d v="2025-01-11T00:00:00"/>
    <n v="3"/>
    <n v="87"/>
    <s v="Kadambini Enterprises"/>
    <s v="Chandni Chowk"/>
    <s v="Sarees"/>
    <x v="3"/>
    <n v="5408"/>
    <n v="14"/>
    <n v="1600"/>
    <n v="22400"/>
    <n v="1120"/>
    <n v="21280"/>
  </r>
  <r>
    <d v="2025-01-11T00:00:00"/>
    <n v="3"/>
    <n v="87"/>
    <s v="Kadambini Enterprises"/>
    <s v="Chandni Chowk"/>
    <s v="Sarees"/>
    <x v="3"/>
    <n v="5408"/>
    <n v="6"/>
    <n v="2450"/>
    <n v="14700"/>
    <n v="735"/>
    <n v="13965"/>
  </r>
  <r>
    <d v="2025-01-11T00:00:00"/>
    <n v="3"/>
    <n v="87"/>
    <s v="Kadambini Enterprises"/>
    <s v="Chandni Chowk"/>
    <s v="Sarees"/>
    <x v="3"/>
    <n v="5408"/>
    <n v="6"/>
    <n v="3450"/>
    <n v="20700"/>
    <n v="1035"/>
    <n v="19665"/>
  </r>
  <r>
    <d v="2025-01-01T00:00:00"/>
    <n v="2"/>
    <n v="1023"/>
    <s v="Radhika Prints"/>
    <s v="Chandni Chowk"/>
    <s v="Nylon Chinon Piping(kaani print)"/>
    <x v="0"/>
    <n v="540741"/>
    <n v="32"/>
    <n v="475"/>
    <n v="15200"/>
    <n v="760"/>
    <n v="14440"/>
  </r>
  <r>
    <d v="2025-01-01T00:00:00"/>
    <n v="2"/>
    <n v="1023"/>
    <s v="Radhika Prints"/>
    <s v="Chandni Chowk"/>
    <s v="Nylon Chiffon Jaq border"/>
    <x v="4"/>
    <n v="540741"/>
    <n v="10"/>
    <n v="530"/>
    <n v="5300"/>
    <n v="265"/>
    <n v="5035"/>
  </r>
  <r>
    <d v="2025-01-01T00:00:00"/>
    <n v="2"/>
    <n v="1023"/>
    <s v="Radhika Prints"/>
    <s v="Chandni Chowk"/>
    <s v="Chamundi HW (Kery butti jaal)"/>
    <x v="2"/>
    <n v="540741"/>
    <n v="5"/>
    <n v="860"/>
    <n v="4300"/>
    <n v="215"/>
    <n v="4085"/>
  </r>
  <r>
    <d v="2025-01-01T00:00:00"/>
    <n v="2"/>
    <n v="1023"/>
    <s v="Radhika Prints"/>
    <s v="Chandni Chowk"/>
    <s v="Chamundi HW (Kasab buta)"/>
    <x v="2"/>
    <n v="540741"/>
    <n v="5"/>
    <n v="860"/>
    <n v="4300"/>
    <n v="215"/>
    <n v="4085"/>
  </r>
  <r>
    <d v="2025-01-01T00:00:00"/>
    <n v="2"/>
    <n v="1023"/>
    <s v="Radhika Prints"/>
    <s v="Chandni Chowk"/>
    <s v="Chamundi HW (Khajoor buta)"/>
    <x v="2"/>
    <n v="540741"/>
    <n v="5"/>
    <n v="860"/>
    <n v="4300"/>
    <n v="215"/>
    <n v="4085"/>
  </r>
  <r>
    <d v="2025-01-01T00:00:00"/>
    <n v="2"/>
    <n v="1023"/>
    <s v="Radhika Prints"/>
    <s v="Chandni Chowk"/>
    <s v="Chamundi HW (Kery buta)"/>
    <x v="2"/>
    <n v="540741"/>
    <n v="2"/>
    <n v="910"/>
    <n v="1820"/>
    <n v="91"/>
    <n v="1729"/>
  </r>
  <r>
    <d v="2025-01-01T00:00:00"/>
    <n v="2"/>
    <n v="1023"/>
    <s v="Radhika Prints"/>
    <s v="Chandni Chowk"/>
    <s v="Chamundi HW (paan buta)"/>
    <x v="2"/>
    <n v="540741"/>
    <n v="2"/>
    <n v="910"/>
    <n v="1820"/>
    <n v="91"/>
    <n v="1729"/>
  </r>
  <r>
    <d v="2025-01-01T00:00:00"/>
    <n v="2"/>
    <n v="1023"/>
    <s v="Radhika Prints"/>
    <s v="Chandni Chowk"/>
    <s v="Chamundi HW (cutdan br)"/>
    <x v="2"/>
    <n v="540741"/>
    <n v="5"/>
    <n v="895"/>
    <n v="4475"/>
    <n v="223.75"/>
    <n v="4251.25"/>
  </r>
  <r>
    <d v="2025-01-01T00:00:00"/>
    <n v="1"/>
    <s v="MS/24-25/1697"/>
    <s v="Malhotrason"/>
    <s v="Chandni Chowk"/>
    <s v="Saree MS-114"/>
    <x v="0"/>
    <n v="540821"/>
    <n v="3"/>
    <n v="2050"/>
    <n v="6150"/>
    <n v="0"/>
    <n v="6150"/>
  </r>
  <r>
    <d v="2025-01-01T00:00:00"/>
    <n v="1"/>
    <s v="MS/24-25/1697"/>
    <s v="Malhotrason"/>
    <s v="Chandni Chowk"/>
    <s v="Saree MS-115"/>
    <x v="0"/>
    <n v="540821"/>
    <n v="3"/>
    <n v="2100"/>
    <n v="6300"/>
    <n v="0"/>
    <n v="6300"/>
  </r>
  <r>
    <d v="2025-01-01T00:00:00"/>
    <n v="1"/>
    <s v="MS/24-25/1697"/>
    <s v="Malhotrason"/>
    <s v="Chandni Chowk"/>
    <s v="Saree MS-130"/>
    <x v="0"/>
    <n v="540821"/>
    <n v="13"/>
    <n v="800"/>
    <n v="10400"/>
    <n v="0"/>
    <n v="10400"/>
  </r>
  <r>
    <d v="2025-01-01T00:00:00"/>
    <n v="1"/>
    <s v="MS/24-25/1697"/>
    <s v="Malhotrason"/>
    <s v="Chandni Chowk"/>
    <s v="Saree Nylon MS-129"/>
    <x v="0"/>
    <n v="540710"/>
    <n v="8"/>
    <n v="625"/>
    <n v="5000"/>
    <n v="0"/>
    <n v="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09D6F4-9794-453A-895D-FA14632E8EA9}" name="PivotTable2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Category">
  <location ref="B5:E11" firstHeaderRow="0" firstDataRow="1" firstDataCol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Unit Sold" fld="1" baseField="0" baseItem="0"/>
    <dataField name="Revenue (₹)" fld="2" baseField="0" baseItem="0" numFmtId="164"/>
    <dataField name="Average Price (₹)" fld="3" subtotal="average" baseField="0" baseItem="0" numFmtId="164"/>
  </dataFields>
  <formats count="1">
    <format dxfId="5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</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Unit Sold"/>
    <pivotHierarchy dragToData="1"/>
    <pivotHierarchy dragToData="1" caption="Revenue (₹)"/>
    <pivotHierarchy dragToData="1"/>
    <pivotHierarchy dragToData="1" caption="Average Price (₹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!$A$4:$M$58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70A3BE-C9C4-4773-95C8-043E10C14D16}" name="PivotTable5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C55:F99" firstHeaderRow="0" firstDataRow="1" firstDataCol="1"/>
  <pivotFields count="4">
    <pivotField axis="axisRow" allDrilled="1" subtotalTop="0" showAll="0" dataSourceSort="1" defaultSubtotal="0" defaultAttributeDrillState="1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Category" fld="3" subtotal="count" baseField="0" baseItem="0"/>
    <dataField name="Sum of Quantity (Pcs.)" fld="1" baseField="0" baseItem="0"/>
    <dataField name="Sum of Total Amount" fld="2" baseField="0" baseItem="0"/>
  </dataField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!$A$4:$M$58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B90BCF-D98E-47E4-90DE-8D9A54CBCBA6}" name="PivotTable8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Month">
  <location ref="C18:F22" firstHeaderRow="0" firstDataRow="1" firstDataCol="1"/>
  <pivotFields count="4">
    <pivotField axis="axisRow" allDrilled="1" subtotalTop="0" showAll="0" dataSourceSort="1" defaultSubtotal="0">
      <items count="3">
        <item x="0" e="0"/>
        <item x="1" e="0"/>
        <item x="2" e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Unit Sold" fld="1" baseField="0" baseItem="0"/>
    <dataField name="Revenue" fld="2" baseField="0" baseItem="0"/>
    <dataField name="Trasactions" fld="3" subtotal="count" baseField="0" baseItem="0"/>
  </dataField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Unit Sold"/>
    <pivotHierarchy dragToData="1"/>
    <pivotHierarchy dragToData="1" caption="Revenue"/>
    <pivotHierarchy dragToData="1"/>
    <pivotHierarchy dragToData="1"/>
    <pivotHierarchy dragToData="1"/>
    <pivotHierarchy dragToData="1"/>
    <pivotHierarchy dragToData="1" caption="Trasactions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!$A$4:$M$58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65365F-A46F-4C5E-9E0B-3D824F11DFC8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C55:D99" firstHeaderRow="1" firstDataRow="1" firstDataCol="1"/>
  <pivotFields count="2">
    <pivotField axis="axisRow" allDrilled="1" subtotalTop="0" showAll="0" dataSourceSort="1" defaultSubtotal="0" defaultAttributeDrillState="1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</items>
    </pivotField>
    <pivotField dataField="1" subtotalTop="0" showAll="0" defaultSubtotal="0"/>
  </pivotFields>
  <rowFields count="1">
    <field x="0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Items count="1">
    <i/>
  </colItems>
  <dataFields count="1">
    <dataField name="Sum of Quantity (Pcs.)" fld="1" baseField="0" baseItem="0"/>
  </dataFields>
  <chartFormats count="4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5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5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5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5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5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5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5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5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5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5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5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5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5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5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5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5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5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!$A$4:$M$58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C815E7-4F74-46E4-9EA6-8CC0047DD3F3}" name="PivotTable11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Customer name">
  <location ref="C16:G21" firstHeaderRow="0" firstDataRow="1" firstDataCol="1"/>
  <pivotFields count="5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lace of supply" fld="1" subtotal="count" baseField="0" baseItem="0"/>
    <dataField name="Unit Sold" fld="2" baseField="0" baseItem="0"/>
    <dataField name="Revenue" fld="3" baseField="0" baseItem="0"/>
    <dataField name="Transactions" fld="4" subtotal="count" baseField="0" baseItem="0"/>
  </dataField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Unit Sold"/>
    <pivotHierarchy dragToData="1"/>
    <pivotHierarchy dragToData="1" caption="Revenue"/>
    <pivotHierarchy dragToData="1"/>
    <pivotHierarchy dragToData="1"/>
    <pivotHierarchy dragToData="1"/>
    <pivotHierarchy dragToData="1"/>
    <pivotHierarchy dragToData="1" caption="Transactions"/>
    <pivotHierarchy dragToData="1" caption="Place of supply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!$A$4:$M$58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BFBC1B-82BC-4523-BE6C-D09101F92214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I29:K35" firstHeaderRow="0" firstDataRow="1" firstDataCol="1"/>
  <pivotFields count="13">
    <pivotField numFmtId="14"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3"/>
        <item x="0"/>
        <item x="4"/>
        <item t="default"/>
      </items>
    </pivotField>
    <pivotField showAll="0"/>
    <pivotField dataField="1" showAll="0"/>
    <pivotField showAll="0"/>
    <pivotField showAll="0"/>
    <pivotField showAll="0"/>
    <pivotField dataField="1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Purchase Quantity(Pcs.)" fld="8" baseField="6" baseItem="0"/>
    <dataField name="Purchase Cost" fld="12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CB2C83-AAE2-4000-A933-9D32F3565FEF}" name="PivotTable12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Category">
  <location ref="C29:E35" firstHeaderRow="0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 Quantity (Pcs.)" fld="1" baseField="0" baseItem="0"/>
    <dataField name="Sales Revenue" fld="2" baseField="0" baseItem="0"/>
  </dataField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Sales Quantity (Pcs.)"/>
    <pivotHierarchy dragToData="1"/>
    <pivotHierarchy dragToData="1" caption="Sales Reven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!$A$4:$M$58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880B96B-ABCD-4CC7-8CC9-AECA28C163DE}" name="Table8" displayName="Table8" ref="B13:F18" totalsRowShown="0" headerRowDxfId="4" headerRowBorderDxfId="3">
  <autoFilter ref="B13:F18" xr:uid="{B880B96B-ABCD-4CC7-8CC9-AECA28C163DE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932C6D9-C7A6-4D1B-8418-04C14B764F9F}" name="Category"/>
    <tableColumn id="2" xr3:uid="{7E5C1ACC-B1A6-44E4-9119-485033B62D78}" name="Unit Sold"/>
    <tableColumn id="3" xr3:uid="{2D83E11D-B450-4677-9D4A-16C6A5AD2E9D}" name="Revenue (₹)" dataDxfId="2"/>
    <tableColumn id="4" xr3:uid="{4BB091E6-6F5E-4A66-8723-04B78EBA42C7}" name="Average Price (₹)" dataDxfId="1"/>
    <tableColumn id="5" xr3:uid="{7CA24D22-6F54-4375-AD1C-BE83C36692F7}" name="Revenue %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AAE50A-456D-44DB-BC85-F3A0DE66DD66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iMdNYX99_FIFqrfYSoCo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6D119-E8C4-482E-B964-CF050C45BD1C}">
  <dimension ref="A2:Z53"/>
  <sheetViews>
    <sheetView zoomScale="76" zoomScaleNormal="100" workbookViewId="0">
      <selection activeCell="D14" sqref="D14"/>
    </sheetView>
  </sheetViews>
  <sheetFormatPr defaultRowHeight="14.4" x14ac:dyDescent="0.3"/>
  <cols>
    <col min="1" max="1" width="15.6640625" style="3" customWidth="1"/>
    <col min="2" max="2" width="12.109375" bestFit="1" customWidth="1"/>
    <col min="3" max="3" width="18.6640625" style="2" customWidth="1"/>
    <col min="4" max="4" width="20.33203125" style="2" bestFit="1" customWidth="1"/>
    <col min="5" max="5" width="18.21875" style="2" bestFit="1" customWidth="1"/>
    <col min="6" max="6" width="33.33203125" bestFit="1" customWidth="1"/>
    <col min="7" max="7" width="15.6640625" customWidth="1"/>
    <col min="8" max="8" width="18.109375" style="2" bestFit="1" customWidth="1"/>
    <col min="9" max="9" width="17.21875" style="2" bestFit="1" customWidth="1"/>
    <col min="10" max="10" width="8.88671875" customWidth="1"/>
    <col min="11" max="11" width="12.5546875" customWidth="1"/>
    <col min="12" max="12" width="16" bestFit="1" customWidth="1"/>
    <col min="13" max="13" width="16.6640625" style="2" bestFit="1" customWidth="1"/>
    <col min="14" max="14" width="9.5546875" customWidth="1"/>
    <col min="15" max="15" width="15.77734375" customWidth="1"/>
    <col min="16" max="16" width="14" bestFit="1" customWidth="1"/>
    <col min="17" max="17" width="9" bestFit="1" customWidth="1"/>
    <col min="18" max="18" width="9.77734375" bestFit="1" customWidth="1"/>
    <col min="19" max="19" width="14.33203125" bestFit="1" customWidth="1"/>
    <col min="20" max="20" width="22.44140625" bestFit="1" customWidth="1"/>
    <col min="21" max="21" width="11.5546875" bestFit="1" customWidth="1"/>
    <col min="22" max="22" width="15" bestFit="1" customWidth="1"/>
    <col min="23" max="23" width="10.88671875" bestFit="1" customWidth="1"/>
    <col min="24" max="24" width="9.44140625" bestFit="1" customWidth="1"/>
    <col min="25" max="25" width="7.21875" bestFit="1" customWidth="1"/>
    <col min="26" max="26" width="7.33203125" bestFit="1" customWidth="1"/>
  </cols>
  <sheetData>
    <row r="2" spans="1:26" ht="25.8" x14ac:dyDescent="0.5">
      <c r="A2" s="72" t="s">
        <v>0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1"/>
      <c r="O2" s="1"/>
      <c r="P2" s="1"/>
    </row>
    <row r="4" spans="1:26" ht="18" x14ac:dyDescent="0.3">
      <c r="A4" s="9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86</v>
      </c>
      <c r="H4" s="10" t="s">
        <v>7</v>
      </c>
      <c r="I4" s="10" t="s">
        <v>92</v>
      </c>
      <c r="J4" s="10" t="s">
        <v>8</v>
      </c>
      <c r="K4" s="10" t="s">
        <v>9</v>
      </c>
      <c r="L4" s="10" t="s">
        <v>30</v>
      </c>
      <c r="M4" s="10" t="s">
        <v>10</v>
      </c>
    </row>
    <row r="5" spans="1:26" ht="18" x14ac:dyDescent="0.3">
      <c r="A5" s="11">
        <v>45743</v>
      </c>
      <c r="B5" s="12">
        <v>13</v>
      </c>
      <c r="C5" s="12">
        <v>4211</v>
      </c>
      <c r="D5" s="12" t="s">
        <v>11</v>
      </c>
      <c r="E5" s="12" t="s">
        <v>12</v>
      </c>
      <c r="F5" s="12" t="s">
        <v>13</v>
      </c>
      <c r="G5" s="12" t="s">
        <v>90</v>
      </c>
      <c r="H5" s="12">
        <v>540710</v>
      </c>
      <c r="I5" s="12">
        <v>7</v>
      </c>
      <c r="J5" s="12">
        <v>465</v>
      </c>
      <c r="K5" s="12">
        <v>3255</v>
      </c>
      <c r="L5" s="12">
        <f>K5*0.05</f>
        <v>162.75</v>
      </c>
      <c r="M5" s="13">
        <f>K5-L5</f>
        <v>3092.25</v>
      </c>
    </row>
    <row r="6" spans="1:26" ht="18" x14ac:dyDescent="0.3">
      <c r="A6" s="11">
        <v>45743</v>
      </c>
      <c r="B6" s="12">
        <v>13</v>
      </c>
      <c r="C6" s="12">
        <v>4211</v>
      </c>
      <c r="D6" s="12" t="s">
        <v>11</v>
      </c>
      <c r="E6" s="12" t="s">
        <v>12</v>
      </c>
      <c r="F6" s="12" t="s">
        <v>14</v>
      </c>
      <c r="G6" s="12" t="s">
        <v>89</v>
      </c>
      <c r="H6" s="12">
        <v>540710</v>
      </c>
      <c r="I6" s="12">
        <v>5</v>
      </c>
      <c r="J6" s="12">
        <v>595</v>
      </c>
      <c r="K6" s="12">
        <v>2975</v>
      </c>
      <c r="L6" s="12">
        <f t="shared" ref="L6:L13" si="0">K6*0.05</f>
        <v>148.75</v>
      </c>
      <c r="M6" s="13">
        <f t="shared" ref="M6:M53" si="1">K6-L6</f>
        <v>2826.25</v>
      </c>
      <c r="P6" s="27"/>
      <c r="Q6" s="27"/>
      <c r="R6" s="27"/>
      <c r="S6" s="27"/>
    </row>
    <row r="7" spans="1:26" ht="18" x14ac:dyDescent="0.3">
      <c r="A7" s="11">
        <v>45743</v>
      </c>
      <c r="B7" s="12">
        <v>13</v>
      </c>
      <c r="C7" s="12">
        <v>4211</v>
      </c>
      <c r="D7" s="12" t="s">
        <v>11</v>
      </c>
      <c r="E7" s="12" t="s">
        <v>12</v>
      </c>
      <c r="F7" s="12" t="s">
        <v>15</v>
      </c>
      <c r="G7" s="12" t="s">
        <v>90</v>
      </c>
      <c r="H7" s="12">
        <v>540710</v>
      </c>
      <c r="I7" s="12">
        <v>5</v>
      </c>
      <c r="J7" s="12">
        <v>695</v>
      </c>
      <c r="K7" s="12">
        <v>3475</v>
      </c>
      <c r="L7" s="12">
        <f t="shared" si="0"/>
        <v>173.75</v>
      </c>
      <c r="M7" s="13">
        <f t="shared" si="1"/>
        <v>3301.25</v>
      </c>
      <c r="P7" s="27"/>
      <c r="Q7" s="34"/>
      <c r="R7" s="34"/>
      <c r="S7" s="34"/>
    </row>
    <row r="8" spans="1:26" ht="18" x14ac:dyDescent="0.3">
      <c r="A8" s="11">
        <v>45743</v>
      </c>
      <c r="B8" s="12">
        <v>12</v>
      </c>
      <c r="C8" s="12" t="s">
        <v>31</v>
      </c>
      <c r="D8" s="12" t="s">
        <v>17</v>
      </c>
      <c r="E8" s="12" t="s">
        <v>12</v>
      </c>
      <c r="F8" s="12" t="s">
        <v>18</v>
      </c>
      <c r="G8" s="12" t="s">
        <v>90</v>
      </c>
      <c r="H8" s="12">
        <v>540710</v>
      </c>
      <c r="I8" s="12">
        <v>4</v>
      </c>
      <c r="J8" s="12">
        <v>400</v>
      </c>
      <c r="K8" s="12">
        <f t="shared" ref="K8:K53" si="2">J8*I8</f>
        <v>1600</v>
      </c>
      <c r="L8" s="12">
        <f t="shared" si="0"/>
        <v>80</v>
      </c>
      <c r="M8" s="13">
        <f t="shared" si="1"/>
        <v>1520</v>
      </c>
      <c r="P8" s="27"/>
      <c r="Q8" s="34"/>
      <c r="R8" s="34"/>
      <c r="S8" s="34"/>
    </row>
    <row r="9" spans="1:26" ht="18" x14ac:dyDescent="0.3">
      <c r="A9" s="11">
        <v>45743</v>
      </c>
      <c r="B9" s="12">
        <v>12</v>
      </c>
      <c r="C9" s="12" t="s">
        <v>31</v>
      </c>
      <c r="D9" s="12" t="s">
        <v>17</v>
      </c>
      <c r="E9" s="12" t="s">
        <v>12</v>
      </c>
      <c r="F9" s="12" t="s">
        <v>19</v>
      </c>
      <c r="G9" s="12" t="s">
        <v>90</v>
      </c>
      <c r="H9" s="12">
        <v>540710</v>
      </c>
      <c r="I9" s="12">
        <v>6</v>
      </c>
      <c r="J9" s="12">
        <v>425</v>
      </c>
      <c r="K9" s="12">
        <f t="shared" si="2"/>
        <v>2550</v>
      </c>
      <c r="L9" s="12">
        <f t="shared" si="0"/>
        <v>127.5</v>
      </c>
      <c r="M9" s="13">
        <f t="shared" si="1"/>
        <v>2422.5</v>
      </c>
      <c r="P9" s="27"/>
      <c r="Q9" s="34"/>
      <c r="R9" s="34"/>
      <c r="S9" s="34"/>
    </row>
    <row r="10" spans="1:26" ht="18" x14ac:dyDescent="0.3">
      <c r="A10" s="11">
        <v>45743</v>
      </c>
      <c r="B10" s="12">
        <v>12</v>
      </c>
      <c r="C10" s="12" t="s">
        <v>31</v>
      </c>
      <c r="D10" s="12" t="s">
        <v>17</v>
      </c>
      <c r="E10" s="12" t="s">
        <v>12</v>
      </c>
      <c r="F10" s="12" t="s">
        <v>20</v>
      </c>
      <c r="G10" s="12" t="s">
        <v>89</v>
      </c>
      <c r="H10" s="12">
        <v>540710</v>
      </c>
      <c r="I10" s="12">
        <v>4</v>
      </c>
      <c r="J10" s="12">
        <v>500</v>
      </c>
      <c r="K10" s="12">
        <f t="shared" si="2"/>
        <v>2000</v>
      </c>
      <c r="L10" s="12">
        <f t="shared" si="0"/>
        <v>100</v>
      </c>
      <c r="M10" s="13">
        <f t="shared" si="1"/>
        <v>1900</v>
      </c>
      <c r="P10" s="27"/>
      <c r="Q10" s="34"/>
      <c r="R10" s="34"/>
      <c r="S10" s="34"/>
    </row>
    <row r="11" spans="1:26" ht="18" x14ac:dyDescent="0.3">
      <c r="A11" s="11">
        <v>45743</v>
      </c>
      <c r="B11" s="12">
        <v>12</v>
      </c>
      <c r="C11" s="12" t="s">
        <v>31</v>
      </c>
      <c r="D11" s="12" t="s">
        <v>17</v>
      </c>
      <c r="E11" s="12" t="s">
        <v>12</v>
      </c>
      <c r="F11" s="12" t="s">
        <v>21</v>
      </c>
      <c r="G11" s="12" t="s">
        <v>89</v>
      </c>
      <c r="H11" s="12">
        <v>540710</v>
      </c>
      <c r="I11" s="12">
        <v>3</v>
      </c>
      <c r="J11" s="12">
        <v>875</v>
      </c>
      <c r="K11" s="12">
        <f t="shared" si="2"/>
        <v>2625</v>
      </c>
      <c r="L11" s="12">
        <f t="shared" si="0"/>
        <v>131.25</v>
      </c>
      <c r="M11" s="13">
        <f t="shared" si="1"/>
        <v>2493.75</v>
      </c>
      <c r="P11" s="27"/>
      <c r="Q11" s="34"/>
      <c r="R11" s="34"/>
      <c r="S11" s="34"/>
    </row>
    <row r="12" spans="1:26" ht="18" x14ac:dyDescent="0.3">
      <c r="A12" s="11">
        <v>45743</v>
      </c>
      <c r="B12" s="12">
        <v>12</v>
      </c>
      <c r="C12" s="12" t="s">
        <v>31</v>
      </c>
      <c r="D12" s="12" t="s">
        <v>17</v>
      </c>
      <c r="E12" s="12" t="s">
        <v>12</v>
      </c>
      <c r="F12" s="12" t="s">
        <v>22</v>
      </c>
      <c r="G12" s="12" t="s">
        <v>87</v>
      </c>
      <c r="H12" s="12">
        <v>540710</v>
      </c>
      <c r="I12" s="12">
        <v>4</v>
      </c>
      <c r="J12" s="12">
        <v>750</v>
      </c>
      <c r="K12" s="12">
        <f t="shared" si="2"/>
        <v>3000</v>
      </c>
      <c r="L12" s="12">
        <f t="shared" si="0"/>
        <v>150</v>
      </c>
      <c r="M12" s="13">
        <f t="shared" si="1"/>
        <v>2850</v>
      </c>
      <c r="P12" s="27"/>
      <c r="Q12" s="34"/>
      <c r="R12" s="34"/>
      <c r="S12" s="34"/>
    </row>
    <row r="13" spans="1:26" ht="18" x14ac:dyDescent="0.3">
      <c r="A13" s="11">
        <v>45743</v>
      </c>
      <c r="B13" s="12">
        <v>12</v>
      </c>
      <c r="C13" s="12" t="s">
        <v>31</v>
      </c>
      <c r="D13" s="12" t="s">
        <v>17</v>
      </c>
      <c r="E13" s="12" t="s">
        <v>12</v>
      </c>
      <c r="F13" s="12" t="s">
        <v>23</v>
      </c>
      <c r="G13" s="12" t="s">
        <v>87</v>
      </c>
      <c r="H13" s="12">
        <v>540710</v>
      </c>
      <c r="I13" s="12">
        <v>4</v>
      </c>
      <c r="J13" s="12">
        <v>695</v>
      </c>
      <c r="K13" s="12">
        <f t="shared" si="2"/>
        <v>2780</v>
      </c>
      <c r="L13" s="12">
        <f t="shared" si="0"/>
        <v>139</v>
      </c>
      <c r="M13" s="13">
        <f t="shared" si="1"/>
        <v>2641</v>
      </c>
      <c r="P13" s="36"/>
      <c r="Q13" s="34"/>
      <c r="R13" s="34"/>
      <c r="S13" s="34"/>
      <c r="T13" s="4"/>
      <c r="U13" s="4"/>
      <c r="V13" s="4"/>
      <c r="W13" s="4"/>
      <c r="X13" s="4"/>
      <c r="Y13" s="4"/>
      <c r="Z13" s="4"/>
    </row>
    <row r="14" spans="1:26" ht="18" x14ac:dyDescent="0.3">
      <c r="A14" s="11">
        <v>45721</v>
      </c>
      <c r="B14" s="12">
        <v>11</v>
      </c>
      <c r="C14" s="12" t="s">
        <v>24</v>
      </c>
      <c r="D14" s="12" t="s">
        <v>25</v>
      </c>
      <c r="E14" s="12" t="s">
        <v>12</v>
      </c>
      <c r="F14" s="12" t="s">
        <v>26</v>
      </c>
      <c r="G14" s="12" t="s">
        <v>88</v>
      </c>
      <c r="H14" s="12">
        <v>540821</v>
      </c>
      <c r="I14" s="12">
        <v>4</v>
      </c>
      <c r="J14" s="12">
        <v>850</v>
      </c>
      <c r="K14" s="12">
        <f t="shared" si="2"/>
        <v>3400</v>
      </c>
      <c r="L14" s="12">
        <f>K14*0</f>
        <v>0</v>
      </c>
      <c r="M14" s="13">
        <f t="shared" si="1"/>
        <v>3400</v>
      </c>
      <c r="P14" s="36"/>
      <c r="Q14" s="34"/>
      <c r="R14" s="34"/>
      <c r="S14" s="34"/>
      <c r="T14" s="4"/>
      <c r="U14" s="4"/>
      <c r="V14" s="4"/>
      <c r="W14" s="4"/>
      <c r="X14" s="4"/>
      <c r="Y14" s="4"/>
      <c r="Z14" s="4"/>
    </row>
    <row r="15" spans="1:26" ht="18" x14ac:dyDescent="0.3">
      <c r="A15" s="11">
        <v>45721</v>
      </c>
      <c r="B15" s="12">
        <v>11</v>
      </c>
      <c r="C15" s="12" t="s">
        <v>24</v>
      </c>
      <c r="D15" s="12" t="s">
        <v>25</v>
      </c>
      <c r="E15" s="12" t="s">
        <v>12</v>
      </c>
      <c r="F15" s="12" t="s">
        <v>27</v>
      </c>
      <c r="G15" s="12" t="s">
        <v>88</v>
      </c>
      <c r="H15" s="12">
        <v>540821</v>
      </c>
      <c r="I15" s="12">
        <v>9</v>
      </c>
      <c r="J15" s="12">
        <v>900</v>
      </c>
      <c r="K15" s="12">
        <f t="shared" si="2"/>
        <v>8100</v>
      </c>
      <c r="L15" s="12">
        <f t="shared" ref="L15:L17" si="3">K15*0</f>
        <v>0</v>
      </c>
      <c r="M15" s="13">
        <f t="shared" si="1"/>
        <v>8100</v>
      </c>
      <c r="P15" s="27"/>
      <c r="S15" s="14"/>
      <c r="T15" s="4"/>
      <c r="U15" s="4"/>
      <c r="V15" s="4"/>
      <c r="W15" s="4"/>
      <c r="X15" s="4"/>
      <c r="Y15" s="4"/>
      <c r="Z15" s="4"/>
    </row>
    <row r="16" spans="1:26" ht="18" x14ac:dyDescent="0.3">
      <c r="A16" s="11">
        <v>45721</v>
      </c>
      <c r="B16" s="12">
        <v>11</v>
      </c>
      <c r="C16" s="12" t="s">
        <v>24</v>
      </c>
      <c r="D16" s="12" t="s">
        <v>25</v>
      </c>
      <c r="E16" s="12" t="s">
        <v>12</v>
      </c>
      <c r="F16" s="12" t="s">
        <v>28</v>
      </c>
      <c r="G16" s="12" t="s">
        <v>88</v>
      </c>
      <c r="H16" s="12">
        <v>540821</v>
      </c>
      <c r="I16" s="12">
        <v>23</v>
      </c>
      <c r="J16" s="12">
        <v>900</v>
      </c>
      <c r="K16" s="12">
        <f t="shared" si="2"/>
        <v>20700</v>
      </c>
      <c r="L16" s="12">
        <f t="shared" si="3"/>
        <v>0</v>
      </c>
      <c r="M16" s="13">
        <f t="shared" si="1"/>
        <v>20700</v>
      </c>
      <c r="S16" s="4"/>
      <c r="T16" s="4"/>
      <c r="U16" s="4"/>
      <c r="V16" s="4"/>
      <c r="W16" s="4"/>
      <c r="X16" s="4"/>
      <c r="Y16" s="4"/>
      <c r="Z16" s="4"/>
    </row>
    <row r="17" spans="1:26" ht="18" x14ac:dyDescent="0.3">
      <c r="A17" s="11">
        <v>45721</v>
      </c>
      <c r="B17" s="12">
        <v>11</v>
      </c>
      <c r="C17" s="12" t="s">
        <v>24</v>
      </c>
      <c r="D17" s="12" t="s">
        <v>25</v>
      </c>
      <c r="E17" s="12" t="s">
        <v>12</v>
      </c>
      <c r="F17" s="12" t="s">
        <v>29</v>
      </c>
      <c r="G17" s="12" t="s">
        <v>88</v>
      </c>
      <c r="H17" s="12">
        <v>540821</v>
      </c>
      <c r="I17" s="12">
        <v>20</v>
      </c>
      <c r="J17" s="12">
        <v>1600</v>
      </c>
      <c r="K17" s="12">
        <f t="shared" si="2"/>
        <v>32000</v>
      </c>
      <c r="L17" s="12">
        <f t="shared" si="3"/>
        <v>0</v>
      </c>
      <c r="M17" s="13">
        <f t="shared" si="1"/>
        <v>32000</v>
      </c>
      <c r="S17" s="4"/>
      <c r="T17" s="4"/>
      <c r="U17" s="4"/>
      <c r="V17" s="4"/>
      <c r="W17" s="4"/>
      <c r="X17" s="4"/>
      <c r="Y17" s="4"/>
      <c r="Z17" s="4"/>
    </row>
    <row r="18" spans="1:26" ht="18" x14ac:dyDescent="0.3">
      <c r="A18" s="11">
        <v>45706</v>
      </c>
      <c r="B18" s="12">
        <v>10</v>
      </c>
      <c r="C18" s="12" t="s">
        <v>32</v>
      </c>
      <c r="D18" s="12" t="s">
        <v>17</v>
      </c>
      <c r="E18" s="12" t="s">
        <v>12</v>
      </c>
      <c r="F18" s="12" t="s">
        <v>20</v>
      </c>
      <c r="G18" s="12" t="s">
        <v>89</v>
      </c>
      <c r="H18" s="12">
        <v>540741</v>
      </c>
      <c r="I18" s="12">
        <v>12</v>
      </c>
      <c r="J18" s="12">
        <v>500</v>
      </c>
      <c r="K18" s="12">
        <f t="shared" si="2"/>
        <v>6000</v>
      </c>
      <c r="L18" s="12">
        <f>K18*0.05</f>
        <v>300</v>
      </c>
      <c r="M18" s="13">
        <f t="shared" si="1"/>
        <v>5700</v>
      </c>
    </row>
    <row r="19" spans="1:26" ht="18" x14ac:dyDescent="0.3">
      <c r="A19" s="11">
        <v>45706</v>
      </c>
      <c r="B19" s="12">
        <v>10</v>
      </c>
      <c r="C19" s="12" t="s">
        <v>32</v>
      </c>
      <c r="D19" s="12" t="s">
        <v>17</v>
      </c>
      <c r="E19" s="12" t="s">
        <v>12</v>
      </c>
      <c r="F19" s="12" t="s">
        <v>33</v>
      </c>
      <c r="G19" s="12" t="s">
        <v>90</v>
      </c>
      <c r="H19" s="12">
        <v>540741</v>
      </c>
      <c r="I19" s="12">
        <v>4</v>
      </c>
      <c r="J19" s="12">
        <v>440</v>
      </c>
      <c r="K19" s="12">
        <f t="shared" si="2"/>
        <v>1760</v>
      </c>
      <c r="L19" s="12">
        <f t="shared" ref="L19:L33" si="4">K19*0.05</f>
        <v>88</v>
      </c>
      <c r="M19" s="13">
        <f t="shared" si="1"/>
        <v>1672</v>
      </c>
    </row>
    <row r="20" spans="1:26" ht="18" x14ac:dyDescent="0.3">
      <c r="A20" s="11">
        <v>45706</v>
      </c>
      <c r="B20" s="12">
        <v>10</v>
      </c>
      <c r="C20" s="12" t="s">
        <v>32</v>
      </c>
      <c r="D20" s="12" t="s">
        <v>17</v>
      </c>
      <c r="E20" s="12" t="s">
        <v>12</v>
      </c>
      <c r="F20" s="12" t="s">
        <v>34</v>
      </c>
      <c r="G20" s="12" t="s">
        <v>90</v>
      </c>
      <c r="H20" s="12">
        <v>540741</v>
      </c>
      <c r="I20" s="12">
        <v>18</v>
      </c>
      <c r="J20" s="12">
        <v>415</v>
      </c>
      <c r="K20" s="12">
        <f t="shared" si="2"/>
        <v>7470</v>
      </c>
      <c r="L20" s="12">
        <f t="shared" si="4"/>
        <v>373.5</v>
      </c>
      <c r="M20" s="13">
        <f t="shared" si="1"/>
        <v>7096.5</v>
      </c>
    </row>
    <row r="21" spans="1:26" ht="18" x14ac:dyDescent="0.3">
      <c r="A21" s="11">
        <v>45706</v>
      </c>
      <c r="B21" s="12">
        <v>10</v>
      </c>
      <c r="C21" s="12" t="s">
        <v>32</v>
      </c>
      <c r="D21" s="12" t="s">
        <v>17</v>
      </c>
      <c r="E21" s="12" t="s">
        <v>12</v>
      </c>
      <c r="F21" s="12" t="s">
        <v>34</v>
      </c>
      <c r="G21" s="12" t="s">
        <v>90</v>
      </c>
      <c r="H21" s="12">
        <v>540741</v>
      </c>
      <c r="I21" s="12">
        <v>6</v>
      </c>
      <c r="J21" s="12">
        <v>400</v>
      </c>
      <c r="K21" s="12">
        <f t="shared" si="2"/>
        <v>2400</v>
      </c>
      <c r="L21" s="12">
        <f t="shared" si="4"/>
        <v>120</v>
      </c>
      <c r="M21" s="13">
        <f t="shared" si="1"/>
        <v>2280</v>
      </c>
    </row>
    <row r="22" spans="1:26" ht="18" x14ac:dyDescent="0.3">
      <c r="A22" s="11">
        <v>45700</v>
      </c>
      <c r="B22" s="12">
        <v>9</v>
      </c>
      <c r="C22" s="12" t="s">
        <v>35</v>
      </c>
      <c r="D22" s="12" t="s">
        <v>17</v>
      </c>
      <c r="E22" s="12" t="s">
        <v>12</v>
      </c>
      <c r="F22" s="12" t="s">
        <v>36</v>
      </c>
      <c r="G22" s="12" t="s">
        <v>90</v>
      </c>
      <c r="H22" s="12">
        <v>540741</v>
      </c>
      <c r="I22" s="12">
        <v>115</v>
      </c>
      <c r="J22" s="12">
        <v>415</v>
      </c>
      <c r="K22" s="12">
        <f t="shared" si="2"/>
        <v>47725</v>
      </c>
      <c r="L22" s="12">
        <f t="shared" si="4"/>
        <v>2386.25</v>
      </c>
      <c r="M22" s="13">
        <f t="shared" si="1"/>
        <v>45338.75</v>
      </c>
    </row>
    <row r="23" spans="1:26" ht="18" x14ac:dyDescent="0.3">
      <c r="A23" s="11">
        <v>45700</v>
      </c>
      <c r="B23" s="12">
        <v>9</v>
      </c>
      <c r="C23" s="12" t="s">
        <v>35</v>
      </c>
      <c r="D23" s="12" t="s">
        <v>17</v>
      </c>
      <c r="E23" s="12" t="s">
        <v>12</v>
      </c>
      <c r="F23" s="12" t="s">
        <v>37</v>
      </c>
      <c r="G23" s="12" t="s">
        <v>90</v>
      </c>
      <c r="H23" s="12">
        <v>540741</v>
      </c>
      <c r="I23" s="12">
        <v>15</v>
      </c>
      <c r="J23" s="12">
        <v>440</v>
      </c>
      <c r="K23" s="12">
        <f t="shared" si="2"/>
        <v>6600</v>
      </c>
      <c r="L23" s="12">
        <f t="shared" si="4"/>
        <v>330</v>
      </c>
      <c r="M23" s="13">
        <f t="shared" si="1"/>
        <v>6270</v>
      </c>
    </row>
    <row r="24" spans="1:26" ht="18" x14ac:dyDescent="0.3">
      <c r="A24" s="11">
        <v>45700</v>
      </c>
      <c r="B24" s="12">
        <v>9</v>
      </c>
      <c r="C24" s="12" t="s">
        <v>35</v>
      </c>
      <c r="D24" s="12" t="s">
        <v>17</v>
      </c>
      <c r="E24" s="12" t="s">
        <v>12</v>
      </c>
      <c r="F24" s="12" t="s">
        <v>38</v>
      </c>
      <c r="G24" s="12" t="s">
        <v>87</v>
      </c>
      <c r="H24" s="12">
        <v>540741</v>
      </c>
      <c r="I24" s="12">
        <v>34</v>
      </c>
      <c r="J24" s="12">
        <v>725</v>
      </c>
      <c r="K24" s="12">
        <f t="shared" si="2"/>
        <v>24650</v>
      </c>
      <c r="L24" s="12">
        <f t="shared" si="4"/>
        <v>1232.5</v>
      </c>
      <c r="M24" s="13">
        <f t="shared" si="1"/>
        <v>23417.5</v>
      </c>
    </row>
    <row r="25" spans="1:26" ht="18" x14ac:dyDescent="0.3">
      <c r="A25" s="11">
        <v>45700</v>
      </c>
      <c r="B25" s="12">
        <v>9</v>
      </c>
      <c r="C25" s="12" t="s">
        <v>35</v>
      </c>
      <c r="D25" s="12" t="s">
        <v>17</v>
      </c>
      <c r="E25" s="12" t="s">
        <v>12</v>
      </c>
      <c r="F25" s="12" t="s">
        <v>39</v>
      </c>
      <c r="G25" s="12" t="s">
        <v>87</v>
      </c>
      <c r="H25" s="12">
        <v>540741</v>
      </c>
      <c r="I25" s="12">
        <v>10</v>
      </c>
      <c r="J25" s="12">
        <v>950</v>
      </c>
      <c r="K25" s="12">
        <f t="shared" si="2"/>
        <v>9500</v>
      </c>
      <c r="L25" s="12">
        <f t="shared" si="4"/>
        <v>475</v>
      </c>
      <c r="M25" s="13">
        <f t="shared" si="1"/>
        <v>9025</v>
      </c>
    </row>
    <row r="26" spans="1:26" ht="18" x14ac:dyDescent="0.3">
      <c r="A26" s="11">
        <v>45700</v>
      </c>
      <c r="B26" s="12">
        <v>9</v>
      </c>
      <c r="C26" s="12" t="s">
        <v>35</v>
      </c>
      <c r="D26" s="12" t="s">
        <v>17</v>
      </c>
      <c r="E26" s="12" t="s">
        <v>12</v>
      </c>
      <c r="F26" s="12" t="s">
        <v>22</v>
      </c>
      <c r="G26" s="12" t="s">
        <v>87</v>
      </c>
      <c r="H26" s="12">
        <v>540741</v>
      </c>
      <c r="I26" s="12">
        <v>9</v>
      </c>
      <c r="J26" s="12">
        <v>825</v>
      </c>
      <c r="K26" s="12">
        <f t="shared" si="2"/>
        <v>7425</v>
      </c>
      <c r="L26" s="12">
        <f t="shared" si="4"/>
        <v>371.25</v>
      </c>
      <c r="M26" s="13">
        <f t="shared" si="1"/>
        <v>7053.75</v>
      </c>
    </row>
    <row r="27" spans="1:26" ht="18" x14ac:dyDescent="0.3">
      <c r="A27" s="11">
        <v>45700</v>
      </c>
      <c r="B27" s="12">
        <v>9</v>
      </c>
      <c r="C27" s="12" t="s">
        <v>35</v>
      </c>
      <c r="D27" s="12" t="s">
        <v>17</v>
      </c>
      <c r="E27" s="12" t="s">
        <v>12</v>
      </c>
      <c r="F27" s="12" t="s">
        <v>22</v>
      </c>
      <c r="G27" s="12" t="s">
        <v>87</v>
      </c>
      <c r="H27" s="12">
        <v>540741</v>
      </c>
      <c r="I27" s="12">
        <v>9</v>
      </c>
      <c r="J27" s="12">
        <v>925</v>
      </c>
      <c r="K27" s="12">
        <f t="shared" si="2"/>
        <v>8325</v>
      </c>
      <c r="L27" s="12">
        <f t="shared" si="4"/>
        <v>416.25</v>
      </c>
      <c r="M27" s="13">
        <f t="shared" si="1"/>
        <v>7908.75</v>
      </c>
    </row>
    <row r="28" spans="1:26" ht="18" x14ac:dyDescent="0.3">
      <c r="A28" s="11">
        <v>45700</v>
      </c>
      <c r="B28" s="12">
        <v>9</v>
      </c>
      <c r="C28" s="12" t="s">
        <v>35</v>
      </c>
      <c r="D28" s="12" t="s">
        <v>17</v>
      </c>
      <c r="E28" s="12" t="s">
        <v>12</v>
      </c>
      <c r="F28" s="12" t="s">
        <v>40</v>
      </c>
      <c r="G28" s="12" t="s">
        <v>87</v>
      </c>
      <c r="H28" s="12">
        <v>540821</v>
      </c>
      <c r="I28" s="12">
        <v>13</v>
      </c>
      <c r="J28" s="12">
        <v>1550</v>
      </c>
      <c r="K28" s="12">
        <f t="shared" si="2"/>
        <v>20150</v>
      </c>
      <c r="L28" s="12">
        <f t="shared" si="4"/>
        <v>1007.5</v>
      </c>
      <c r="M28" s="13">
        <f t="shared" si="1"/>
        <v>19142.5</v>
      </c>
    </row>
    <row r="29" spans="1:26" ht="18" x14ac:dyDescent="0.3">
      <c r="A29" s="11">
        <v>45696</v>
      </c>
      <c r="B29" s="12">
        <v>8</v>
      </c>
      <c r="C29" s="12">
        <v>99</v>
      </c>
      <c r="D29" s="12" t="s">
        <v>48</v>
      </c>
      <c r="E29" s="12" t="s">
        <v>12</v>
      </c>
      <c r="F29" s="12" t="s">
        <v>49</v>
      </c>
      <c r="G29" s="12" t="s">
        <v>88</v>
      </c>
      <c r="H29" s="12">
        <v>5408</v>
      </c>
      <c r="I29" s="12">
        <v>14</v>
      </c>
      <c r="J29" s="12">
        <v>975</v>
      </c>
      <c r="K29" s="12">
        <f t="shared" si="2"/>
        <v>13650</v>
      </c>
      <c r="L29" s="12">
        <f t="shared" si="4"/>
        <v>682.5</v>
      </c>
      <c r="M29" s="13">
        <f t="shared" si="1"/>
        <v>12967.5</v>
      </c>
    </row>
    <row r="30" spans="1:26" ht="18" x14ac:dyDescent="0.3">
      <c r="A30" s="11">
        <v>45696</v>
      </c>
      <c r="B30" s="12">
        <v>7</v>
      </c>
      <c r="C30" s="12">
        <v>2299</v>
      </c>
      <c r="D30" s="12" t="s">
        <v>50</v>
      </c>
      <c r="E30" s="12" t="s">
        <v>12</v>
      </c>
      <c r="F30" s="12" t="s">
        <v>51</v>
      </c>
      <c r="G30" s="12" t="s">
        <v>87</v>
      </c>
      <c r="H30" s="12">
        <v>540821</v>
      </c>
      <c r="I30" s="12">
        <v>6</v>
      </c>
      <c r="J30" s="12">
        <v>1095</v>
      </c>
      <c r="K30" s="12">
        <f t="shared" si="2"/>
        <v>6570</v>
      </c>
      <c r="L30" s="12">
        <f t="shared" si="4"/>
        <v>328.5</v>
      </c>
      <c r="M30" s="13">
        <f t="shared" si="1"/>
        <v>6241.5</v>
      </c>
    </row>
    <row r="31" spans="1:26" ht="18" x14ac:dyDescent="0.3">
      <c r="A31" s="11">
        <v>45694</v>
      </c>
      <c r="B31" s="12">
        <v>6</v>
      </c>
      <c r="C31" s="12" t="s">
        <v>41</v>
      </c>
      <c r="D31" s="12" t="s">
        <v>17</v>
      </c>
      <c r="E31" s="12" t="s">
        <v>12</v>
      </c>
      <c r="F31" s="12" t="s">
        <v>42</v>
      </c>
      <c r="G31" s="12" t="s">
        <v>87</v>
      </c>
      <c r="H31" s="12">
        <v>540741</v>
      </c>
      <c r="I31" s="12">
        <v>65</v>
      </c>
      <c r="J31" s="12">
        <v>395</v>
      </c>
      <c r="K31" s="12">
        <f t="shared" si="2"/>
        <v>25675</v>
      </c>
      <c r="L31" s="12">
        <f t="shared" si="4"/>
        <v>1283.75</v>
      </c>
      <c r="M31" s="13">
        <f t="shared" si="1"/>
        <v>24391.25</v>
      </c>
    </row>
    <row r="32" spans="1:26" ht="18" x14ac:dyDescent="0.3">
      <c r="A32" s="11">
        <v>45694</v>
      </c>
      <c r="B32" s="12">
        <v>6</v>
      </c>
      <c r="C32" s="12" t="s">
        <v>41</v>
      </c>
      <c r="D32" s="12" t="s">
        <v>17</v>
      </c>
      <c r="E32" s="12" t="s">
        <v>12</v>
      </c>
      <c r="F32" s="12" t="s">
        <v>43</v>
      </c>
      <c r="G32" s="12" t="s">
        <v>87</v>
      </c>
      <c r="H32" s="12">
        <v>540741</v>
      </c>
      <c r="I32" s="12">
        <v>51</v>
      </c>
      <c r="J32" s="12">
        <v>425</v>
      </c>
      <c r="K32" s="12">
        <f t="shared" si="2"/>
        <v>21675</v>
      </c>
      <c r="L32" s="12">
        <f t="shared" si="4"/>
        <v>1083.75</v>
      </c>
      <c r="M32" s="13">
        <f t="shared" si="1"/>
        <v>20591.25</v>
      </c>
    </row>
    <row r="33" spans="1:13" ht="18" x14ac:dyDescent="0.3">
      <c r="A33" s="11">
        <v>45694</v>
      </c>
      <c r="B33" s="12">
        <v>6</v>
      </c>
      <c r="C33" s="12" t="s">
        <v>41</v>
      </c>
      <c r="D33" s="12" t="s">
        <v>17</v>
      </c>
      <c r="E33" s="12" t="s">
        <v>12</v>
      </c>
      <c r="F33" s="12" t="s">
        <v>44</v>
      </c>
      <c r="G33" s="12" t="s">
        <v>89</v>
      </c>
      <c r="H33" s="12">
        <v>540741</v>
      </c>
      <c r="I33" s="12">
        <v>14</v>
      </c>
      <c r="J33" s="12">
        <v>995</v>
      </c>
      <c r="K33" s="12">
        <f t="shared" si="2"/>
        <v>13930</v>
      </c>
      <c r="L33" s="12">
        <f t="shared" si="4"/>
        <v>696.5</v>
      </c>
      <c r="M33" s="13">
        <f t="shared" si="1"/>
        <v>13233.5</v>
      </c>
    </row>
    <row r="34" spans="1:13" ht="18" x14ac:dyDescent="0.3">
      <c r="A34" s="11">
        <v>45688</v>
      </c>
      <c r="B34" s="12">
        <v>5</v>
      </c>
      <c r="C34" s="12" t="s">
        <v>52</v>
      </c>
      <c r="D34" s="12" t="s">
        <v>25</v>
      </c>
      <c r="E34" s="12" t="s">
        <v>12</v>
      </c>
      <c r="F34" s="12" t="s">
        <v>53</v>
      </c>
      <c r="G34" s="12" t="s">
        <v>90</v>
      </c>
      <c r="H34" s="12">
        <v>540710</v>
      </c>
      <c r="I34" s="12">
        <v>17</v>
      </c>
      <c r="J34" s="12">
        <v>950</v>
      </c>
      <c r="K34" s="12">
        <f t="shared" si="2"/>
        <v>16150</v>
      </c>
      <c r="L34" s="12">
        <f>K34*0</f>
        <v>0</v>
      </c>
      <c r="M34" s="13">
        <f t="shared" si="1"/>
        <v>16150</v>
      </c>
    </row>
    <row r="35" spans="1:13" ht="18" x14ac:dyDescent="0.3">
      <c r="A35" s="11">
        <v>45688</v>
      </c>
      <c r="B35" s="12">
        <v>5</v>
      </c>
      <c r="C35" s="12" t="s">
        <v>52</v>
      </c>
      <c r="D35" s="12" t="s">
        <v>25</v>
      </c>
      <c r="E35" s="12" t="s">
        <v>12</v>
      </c>
      <c r="F35" s="12" t="s">
        <v>28</v>
      </c>
      <c r="G35" s="12" t="s">
        <v>90</v>
      </c>
      <c r="H35" s="12">
        <v>540821</v>
      </c>
      <c r="I35" s="12">
        <v>22</v>
      </c>
      <c r="J35" s="12">
        <v>900</v>
      </c>
      <c r="K35" s="12">
        <f t="shared" si="2"/>
        <v>19800</v>
      </c>
      <c r="L35" s="12">
        <f t="shared" ref="L35:L37" si="5">K35*0</f>
        <v>0</v>
      </c>
      <c r="M35" s="13">
        <f t="shared" si="1"/>
        <v>19800</v>
      </c>
    </row>
    <row r="36" spans="1:13" ht="18" x14ac:dyDescent="0.3">
      <c r="A36" s="11">
        <v>45684</v>
      </c>
      <c r="B36" s="12">
        <v>4</v>
      </c>
      <c r="C36" s="12" t="s">
        <v>45</v>
      </c>
      <c r="D36" s="12" t="s">
        <v>46</v>
      </c>
      <c r="E36" s="12" t="s">
        <v>12</v>
      </c>
      <c r="F36" s="12" t="s">
        <v>49</v>
      </c>
      <c r="G36" s="12" t="s">
        <v>90</v>
      </c>
      <c r="H36" s="12">
        <v>540824</v>
      </c>
      <c r="I36" s="12">
        <v>6</v>
      </c>
      <c r="J36" s="12">
        <v>1890</v>
      </c>
      <c r="K36" s="12">
        <f t="shared" si="2"/>
        <v>11340</v>
      </c>
      <c r="L36" s="12">
        <f t="shared" si="5"/>
        <v>0</v>
      </c>
      <c r="M36" s="13">
        <f t="shared" si="1"/>
        <v>11340</v>
      </c>
    </row>
    <row r="37" spans="1:13" ht="18" x14ac:dyDescent="0.3">
      <c r="A37" s="11">
        <v>45684</v>
      </c>
      <c r="B37" s="12">
        <v>4</v>
      </c>
      <c r="C37" s="12" t="s">
        <v>45</v>
      </c>
      <c r="D37" s="12" t="s">
        <v>46</v>
      </c>
      <c r="E37" s="12" t="s">
        <v>12</v>
      </c>
      <c r="F37" s="12" t="s">
        <v>49</v>
      </c>
      <c r="G37" s="12" t="s">
        <v>90</v>
      </c>
      <c r="H37" s="12">
        <v>540824</v>
      </c>
      <c r="I37" s="12">
        <v>6</v>
      </c>
      <c r="J37" s="12">
        <v>1950</v>
      </c>
      <c r="K37" s="12">
        <f t="shared" si="2"/>
        <v>11700</v>
      </c>
      <c r="L37" s="12">
        <f t="shared" si="5"/>
        <v>0</v>
      </c>
      <c r="M37" s="13">
        <f t="shared" si="1"/>
        <v>11700</v>
      </c>
    </row>
    <row r="38" spans="1:13" ht="18" x14ac:dyDescent="0.3">
      <c r="A38" s="11">
        <v>45668</v>
      </c>
      <c r="B38" s="12">
        <v>3</v>
      </c>
      <c r="C38" s="12">
        <v>87</v>
      </c>
      <c r="D38" s="12" t="s">
        <v>48</v>
      </c>
      <c r="E38" s="12" t="s">
        <v>12</v>
      </c>
      <c r="F38" s="12" t="s">
        <v>54</v>
      </c>
      <c r="G38" s="12" t="s">
        <v>88</v>
      </c>
      <c r="H38" s="12">
        <v>5408</v>
      </c>
      <c r="I38" s="12">
        <v>17</v>
      </c>
      <c r="J38" s="12">
        <v>1550</v>
      </c>
      <c r="K38" s="12">
        <f t="shared" si="2"/>
        <v>26350</v>
      </c>
      <c r="L38" s="12">
        <f>K38*0.05</f>
        <v>1317.5</v>
      </c>
      <c r="M38" s="13">
        <f t="shared" si="1"/>
        <v>25032.5</v>
      </c>
    </row>
    <row r="39" spans="1:13" ht="18" x14ac:dyDescent="0.3">
      <c r="A39" s="11">
        <v>45668</v>
      </c>
      <c r="B39" s="12">
        <v>3</v>
      </c>
      <c r="C39" s="12">
        <v>87</v>
      </c>
      <c r="D39" s="12" t="s">
        <v>48</v>
      </c>
      <c r="E39" s="12" t="s">
        <v>12</v>
      </c>
      <c r="F39" s="12" t="s">
        <v>49</v>
      </c>
      <c r="G39" s="12" t="s">
        <v>88</v>
      </c>
      <c r="H39" s="12">
        <v>5408</v>
      </c>
      <c r="I39" s="12">
        <v>14</v>
      </c>
      <c r="J39" s="12">
        <v>1600</v>
      </c>
      <c r="K39" s="12">
        <f t="shared" si="2"/>
        <v>22400</v>
      </c>
      <c r="L39" s="12">
        <f t="shared" ref="L39:L49" si="6">K39*0.05</f>
        <v>1120</v>
      </c>
      <c r="M39" s="13">
        <f t="shared" si="1"/>
        <v>21280</v>
      </c>
    </row>
    <row r="40" spans="1:13" ht="18" x14ac:dyDescent="0.3">
      <c r="A40" s="11">
        <v>45668</v>
      </c>
      <c r="B40" s="12">
        <v>3</v>
      </c>
      <c r="C40" s="12">
        <v>87</v>
      </c>
      <c r="D40" s="12" t="s">
        <v>48</v>
      </c>
      <c r="E40" s="12" t="s">
        <v>12</v>
      </c>
      <c r="F40" s="12" t="s">
        <v>49</v>
      </c>
      <c r="G40" s="12" t="s">
        <v>88</v>
      </c>
      <c r="H40" s="12">
        <v>5408</v>
      </c>
      <c r="I40" s="12">
        <v>6</v>
      </c>
      <c r="J40" s="12">
        <v>2450</v>
      </c>
      <c r="K40" s="12">
        <f t="shared" si="2"/>
        <v>14700</v>
      </c>
      <c r="L40" s="12">
        <f t="shared" si="6"/>
        <v>735</v>
      </c>
      <c r="M40" s="13">
        <f t="shared" si="1"/>
        <v>13965</v>
      </c>
    </row>
    <row r="41" spans="1:13" ht="18" x14ac:dyDescent="0.3">
      <c r="A41" s="11">
        <v>45668</v>
      </c>
      <c r="B41" s="12">
        <v>3</v>
      </c>
      <c r="C41" s="12">
        <v>87</v>
      </c>
      <c r="D41" s="12" t="s">
        <v>48</v>
      </c>
      <c r="E41" s="12" t="s">
        <v>12</v>
      </c>
      <c r="F41" s="12" t="s">
        <v>49</v>
      </c>
      <c r="G41" s="12" t="s">
        <v>88</v>
      </c>
      <c r="H41" s="12">
        <v>5408</v>
      </c>
      <c r="I41" s="12">
        <v>6</v>
      </c>
      <c r="J41" s="12">
        <v>3450</v>
      </c>
      <c r="K41" s="12">
        <f t="shared" si="2"/>
        <v>20700</v>
      </c>
      <c r="L41" s="12">
        <f t="shared" si="6"/>
        <v>1035</v>
      </c>
      <c r="M41" s="13">
        <f t="shared" si="1"/>
        <v>19665</v>
      </c>
    </row>
    <row r="42" spans="1:13" ht="18" x14ac:dyDescent="0.3">
      <c r="A42" s="11">
        <v>45658</v>
      </c>
      <c r="B42" s="12">
        <v>2</v>
      </c>
      <c r="C42" s="12">
        <v>1023</v>
      </c>
      <c r="D42" s="12" t="s">
        <v>17</v>
      </c>
      <c r="E42" s="12" t="s">
        <v>12</v>
      </c>
      <c r="F42" s="12" t="s">
        <v>55</v>
      </c>
      <c r="G42" s="12" t="s">
        <v>90</v>
      </c>
      <c r="H42" s="12">
        <v>540741</v>
      </c>
      <c r="I42" s="12">
        <v>32</v>
      </c>
      <c r="J42" s="12">
        <v>475</v>
      </c>
      <c r="K42" s="12">
        <f t="shared" si="2"/>
        <v>15200</v>
      </c>
      <c r="L42" s="12">
        <f t="shared" si="6"/>
        <v>760</v>
      </c>
      <c r="M42" s="13">
        <f t="shared" si="1"/>
        <v>14440</v>
      </c>
    </row>
    <row r="43" spans="1:13" ht="18" x14ac:dyDescent="0.3">
      <c r="A43" s="11">
        <v>45658</v>
      </c>
      <c r="B43" s="12">
        <v>2</v>
      </c>
      <c r="C43" s="12">
        <v>1023</v>
      </c>
      <c r="D43" s="12" t="s">
        <v>17</v>
      </c>
      <c r="E43" s="12" t="s">
        <v>12</v>
      </c>
      <c r="F43" s="12" t="s">
        <v>56</v>
      </c>
      <c r="G43" s="12" t="s">
        <v>91</v>
      </c>
      <c r="H43" s="12">
        <v>540741</v>
      </c>
      <c r="I43" s="12">
        <v>10</v>
      </c>
      <c r="J43" s="12">
        <v>530</v>
      </c>
      <c r="K43" s="12">
        <f t="shared" si="2"/>
        <v>5300</v>
      </c>
      <c r="L43" s="12">
        <f t="shared" si="6"/>
        <v>265</v>
      </c>
      <c r="M43" s="13">
        <f t="shared" si="1"/>
        <v>5035</v>
      </c>
    </row>
    <row r="44" spans="1:13" ht="18" x14ac:dyDescent="0.3">
      <c r="A44" s="11">
        <v>45658</v>
      </c>
      <c r="B44" s="12">
        <v>2</v>
      </c>
      <c r="C44" s="12">
        <v>1023</v>
      </c>
      <c r="D44" s="12" t="s">
        <v>17</v>
      </c>
      <c r="E44" s="12" t="s">
        <v>12</v>
      </c>
      <c r="F44" s="12" t="s">
        <v>57</v>
      </c>
      <c r="G44" s="12" t="s">
        <v>87</v>
      </c>
      <c r="H44" s="12">
        <v>540741</v>
      </c>
      <c r="I44" s="12">
        <v>5</v>
      </c>
      <c r="J44" s="12">
        <v>860</v>
      </c>
      <c r="K44" s="12">
        <f t="shared" si="2"/>
        <v>4300</v>
      </c>
      <c r="L44" s="12">
        <f t="shared" si="6"/>
        <v>215</v>
      </c>
      <c r="M44" s="13">
        <f t="shared" si="1"/>
        <v>4085</v>
      </c>
    </row>
    <row r="45" spans="1:13" ht="18" x14ac:dyDescent="0.3">
      <c r="A45" s="11">
        <v>45658</v>
      </c>
      <c r="B45" s="12">
        <v>2</v>
      </c>
      <c r="C45" s="12">
        <v>1023</v>
      </c>
      <c r="D45" s="12" t="s">
        <v>17</v>
      </c>
      <c r="E45" s="12" t="s">
        <v>12</v>
      </c>
      <c r="F45" s="12" t="s">
        <v>58</v>
      </c>
      <c r="G45" s="12" t="s">
        <v>87</v>
      </c>
      <c r="H45" s="12">
        <v>540741</v>
      </c>
      <c r="I45" s="12">
        <v>5</v>
      </c>
      <c r="J45" s="12">
        <v>860</v>
      </c>
      <c r="K45" s="12">
        <f t="shared" si="2"/>
        <v>4300</v>
      </c>
      <c r="L45" s="12">
        <f t="shared" si="6"/>
        <v>215</v>
      </c>
      <c r="M45" s="13">
        <f t="shared" si="1"/>
        <v>4085</v>
      </c>
    </row>
    <row r="46" spans="1:13" ht="18" x14ac:dyDescent="0.3">
      <c r="A46" s="11">
        <v>45658</v>
      </c>
      <c r="B46" s="12">
        <v>2</v>
      </c>
      <c r="C46" s="12">
        <v>1023</v>
      </c>
      <c r="D46" s="12" t="s">
        <v>17</v>
      </c>
      <c r="E46" s="12" t="s">
        <v>12</v>
      </c>
      <c r="F46" s="12" t="s">
        <v>59</v>
      </c>
      <c r="G46" s="12" t="s">
        <v>87</v>
      </c>
      <c r="H46" s="12">
        <v>540741</v>
      </c>
      <c r="I46" s="12">
        <v>5</v>
      </c>
      <c r="J46" s="12">
        <v>860</v>
      </c>
      <c r="K46" s="12">
        <f t="shared" si="2"/>
        <v>4300</v>
      </c>
      <c r="L46" s="12">
        <f t="shared" si="6"/>
        <v>215</v>
      </c>
      <c r="M46" s="13">
        <f t="shared" si="1"/>
        <v>4085</v>
      </c>
    </row>
    <row r="47" spans="1:13" ht="18" x14ac:dyDescent="0.3">
      <c r="A47" s="11">
        <v>45658</v>
      </c>
      <c r="B47" s="12">
        <v>2</v>
      </c>
      <c r="C47" s="12">
        <v>1023</v>
      </c>
      <c r="D47" s="12" t="s">
        <v>17</v>
      </c>
      <c r="E47" s="12" t="s">
        <v>12</v>
      </c>
      <c r="F47" s="12" t="s">
        <v>60</v>
      </c>
      <c r="G47" s="12" t="s">
        <v>87</v>
      </c>
      <c r="H47" s="12">
        <v>540741</v>
      </c>
      <c r="I47" s="12">
        <v>2</v>
      </c>
      <c r="J47" s="12">
        <v>910</v>
      </c>
      <c r="K47" s="12">
        <f t="shared" si="2"/>
        <v>1820</v>
      </c>
      <c r="L47" s="12">
        <f t="shared" si="6"/>
        <v>91</v>
      </c>
      <c r="M47" s="13">
        <f t="shared" si="1"/>
        <v>1729</v>
      </c>
    </row>
    <row r="48" spans="1:13" ht="18" x14ac:dyDescent="0.3">
      <c r="A48" s="11">
        <v>45658</v>
      </c>
      <c r="B48" s="12">
        <v>2</v>
      </c>
      <c r="C48" s="12">
        <v>1023</v>
      </c>
      <c r="D48" s="12" t="s">
        <v>17</v>
      </c>
      <c r="E48" s="12" t="s">
        <v>12</v>
      </c>
      <c r="F48" s="12" t="s">
        <v>61</v>
      </c>
      <c r="G48" s="12" t="s">
        <v>87</v>
      </c>
      <c r="H48" s="12">
        <v>540741</v>
      </c>
      <c r="I48" s="12">
        <v>2</v>
      </c>
      <c r="J48" s="12">
        <v>910</v>
      </c>
      <c r="K48" s="12">
        <f t="shared" si="2"/>
        <v>1820</v>
      </c>
      <c r="L48" s="12">
        <f t="shared" si="6"/>
        <v>91</v>
      </c>
      <c r="M48" s="13">
        <f t="shared" si="1"/>
        <v>1729</v>
      </c>
    </row>
    <row r="49" spans="1:13" ht="18" x14ac:dyDescent="0.3">
      <c r="A49" s="11">
        <v>45658</v>
      </c>
      <c r="B49" s="12">
        <v>2</v>
      </c>
      <c r="C49" s="12">
        <v>1023</v>
      </c>
      <c r="D49" s="12" t="s">
        <v>17</v>
      </c>
      <c r="E49" s="12" t="s">
        <v>12</v>
      </c>
      <c r="F49" s="12" t="s">
        <v>62</v>
      </c>
      <c r="G49" s="12" t="s">
        <v>87</v>
      </c>
      <c r="H49" s="12">
        <v>540741</v>
      </c>
      <c r="I49" s="12">
        <v>5</v>
      </c>
      <c r="J49" s="12">
        <v>895</v>
      </c>
      <c r="K49" s="12">
        <f t="shared" si="2"/>
        <v>4475</v>
      </c>
      <c r="L49" s="12">
        <f t="shared" si="6"/>
        <v>223.75</v>
      </c>
      <c r="M49" s="13">
        <f t="shared" si="1"/>
        <v>4251.25</v>
      </c>
    </row>
    <row r="50" spans="1:13" ht="18" x14ac:dyDescent="0.3">
      <c r="A50" s="11">
        <v>45658</v>
      </c>
      <c r="B50" s="12">
        <v>1</v>
      </c>
      <c r="C50" s="12" t="s">
        <v>63</v>
      </c>
      <c r="D50" s="12" t="s">
        <v>25</v>
      </c>
      <c r="E50" s="12" t="s">
        <v>12</v>
      </c>
      <c r="F50" s="12" t="s">
        <v>64</v>
      </c>
      <c r="G50" s="12" t="s">
        <v>90</v>
      </c>
      <c r="H50" s="12">
        <v>540821</v>
      </c>
      <c r="I50" s="12">
        <v>3</v>
      </c>
      <c r="J50" s="12">
        <v>2050</v>
      </c>
      <c r="K50" s="12">
        <f t="shared" si="2"/>
        <v>6150</v>
      </c>
      <c r="L50" s="12">
        <f>K50*0</f>
        <v>0</v>
      </c>
      <c r="M50" s="13">
        <f t="shared" si="1"/>
        <v>6150</v>
      </c>
    </row>
    <row r="51" spans="1:13" ht="18" x14ac:dyDescent="0.3">
      <c r="A51" s="11">
        <v>45658</v>
      </c>
      <c r="B51" s="12">
        <v>1</v>
      </c>
      <c r="C51" s="12" t="s">
        <v>63</v>
      </c>
      <c r="D51" s="12" t="s">
        <v>25</v>
      </c>
      <c r="E51" s="12" t="s">
        <v>12</v>
      </c>
      <c r="F51" s="12" t="s">
        <v>65</v>
      </c>
      <c r="G51" s="12" t="s">
        <v>90</v>
      </c>
      <c r="H51" s="12">
        <v>540821</v>
      </c>
      <c r="I51" s="12">
        <v>3</v>
      </c>
      <c r="J51" s="12">
        <v>2100</v>
      </c>
      <c r="K51" s="12">
        <f t="shared" si="2"/>
        <v>6300</v>
      </c>
      <c r="L51" s="12">
        <f t="shared" ref="L51:L53" si="7">K51*0</f>
        <v>0</v>
      </c>
      <c r="M51" s="13">
        <f t="shared" si="1"/>
        <v>6300</v>
      </c>
    </row>
    <row r="52" spans="1:13" ht="18" x14ac:dyDescent="0.3">
      <c r="A52" s="11">
        <v>45658</v>
      </c>
      <c r="B52" s="12">
        <v>1</v>
      </c>
      <c r="C52" s="12" t="s">
        <v>63</v>
      </c>
      <c r="D52" s="12" t="s">
        <v>25</v>
      </c>
      <c r="E52" s="12" t="s">
        <v>12</v>
      </c>
      <c r="F52" s="12" t="s">
        <v>66</v>
      </c>
      <c r="G52" s="12" t="s">
        <v>90</v>
      </c>
      <c r="H52" s="12">
        <v>540821</v>
      </c>
      <c r="I52" s="12">
        <v>13</v>
      </c>
      <c r="J52" s="12">
        <v>800</v>
      </c>
      <c r="K52" s="12">
        <f t="shared" si="2"/>
        <v>10400</v>
      </c>
      <c r="L52" s="12">
        <f t="shared" si="7"/>
        <v>0</v>
      </c>
      <c r="M52" s="13">
        <f t="shared" si="1"/>
        <v>10400</v>
      </c>
    </row>
    <row r="53" spans="1:13" ht="18" x14ac:dyDescent="0.3">
      <c r="A53" s="11">
        <v>45658</v>
      </c>
      <c r="B53" s="12">
        <v>1</v>
      </c>
      <c r="C53" s="12" t="s">
        <v>63</v>
      </c>
      <c r="D53" s="12" t="s">
        <v>25</v>
      </c>
      <c r="E53" s="12" t="s">
        <v>12</v>
      </c>
      <c r="F53" s="12" t="s">
        <v>67</v>
      </c>
      <c r="G53" s="12" t="s">
        <v>90</v>
      </c>
      <c r="H53" s="12">
        <v>540710</v>
      </c>
      <c r="I53" s="12">
        <v>8</v>
      </c>
      <c r="J53" s="12">
        <v>625</v>
      </c>
      <c r="K53" s="12">
        <f t="shared" si="2"/>
        <v>5000</v>
      </c>
      <c r="L53" s="12">
        <f t="shared" si="7"/>
        <v>0</v>
      </c>
      <c r="M53" s="13">
        <f t="shared" si="1"/>
        <v>5000</v>
      </c>
    </row>
  </sheetData>
  <mergeCells count="1">
    <mergeCell ref="A2:M2"/>
  </mergeCells>
  <phoneticPr fontId="2" type="noConversion"/>
  <dataValidations count="9">
    <dataValidation type="list" allowBlank="1" showInputMessage="1" sqref="W14:W17" xr:uid="{08D7C855-0BA6-4990-9520-0A8266D93265}">
      <formula1>"Process, Decision, Subprocess, Start, End, Document, Data, Database, External Data, On-page reference, Off-page reference, Custom 1, Custom 2, Custom 3, Custom 4"</formula1>
    </dataValidation>
    <dataValidation allowBlank="1" showInputMessage="1" showErrorMessage="1" promptTitle="Process Step ID" prompt="Enter a unique process step ID for each shape in the diagram." sqref="S13" xr:uid="{4EEAA93C-B348-43B0-B298-6D4F089BC528}"/>
    <dataValidation allowBlank="1" showInputMessage="1" showErrorMessage="1" promptTitle="Process Step Description" prompt="Enter text for the process step that will appear in the shape." sqref="T13" xr:uid="{50AE655D-E8FF-4ED9-A87C-77D01CC7BBBE}"/>
    <dataValidation allowBlank="1" showInputMessage="1" showErrorMessage="1" promptTitle="Next Step ID" prompt="Enter the process step ID for the next step. Use commas to separate multiple next steps, such as &quot;P600,P700&quot;." sqref="U13" xr:uid="{A2A3285A-355B-4144-9D78-7B1F12EDD945}"/>
    <dataValidation allowBlank="1" showInputMessage="1" showErrorMessage="1" promptTitle="Connector Label" prompt="If desired, label the connector to the next step. Use commas to separate multiple next steps, such as &quot;Yes,No&quot;." sqref="V13" xr:uid="{EBAA1C59-24B9-4571-8E91-E20C91DF2AC6}"/>
    <dataValidation allowBlank="1" showInputMessage="1" showErrorMessage="1" promptTitle="Shape Type" prompt="Enter the type of shape you'd like each process step to use." sqref="W13" xr:uid="{C4995EBA-7292-443C-8DA9-43D177DA95ED}"/>
    <dataValidation allowBlank="1" showInputMessage="1" showErrorMessage="1" promptTitle="Function" prompt="Enter the name of the function that the process step applies to. This creates swimlanes." sqref="X13" xr:uid="{2FFED92B-84F3-484C-838C-4DE575B3C386}"/>
    <dataValidation allowBlank="1" showInputMessage="1" showErrorMessage="1" promptTitle="Phase" prompt="Enter the name of the phase that the process step applies to." sqref="Y13" xr:uid="{03178ADE-B478-467F-987E-A5DB4A1B187F}"/>
    <dataValidation allowBlank="1" showInputMessage="1" showErrorMessage="1" promptTitle="Alt Text" prompt="Alt Text helps people with visual impairments understand your diagram. Describe each process step." sqref="Z13" xr:uid="{97F82FB4-DA63-44C0-A9D0-034516345E82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14A15-4F65-4160-B596-20CA9D94B4B2}">
  <dimension ref="A2:S58"/>
  <sheetViews>
    <sheetView tabSelected="1" zoomScale="65" zoomScaleNormal="102" workbookViewId="0">
      <selection activeCell="E18" sqref="E18"/>
    </sheetView>
  </sheetViews>
  <sheetFormatPr defaultRowHeight="14.4" x14ac:dyDescent="0.3"/>
  <cols>
    <col min="1" max="1" width="15.5546875" style="5" customWidth="1"/>
    <col min="2" max="2" width="12.33203125" bestFit="1" customWidth="1"/>
    <col min="3" max="3" width="13.6640625" bestFit="1" customWidth="1"/>
    <col min="4" max="4" width="25.5546875" customWidth="1"/>
    <col min="5" max="5" width="22" customWidth="1"/>
    <col min="6" max="6" width="32.88671875" bestFit="1" customWidth="1"/>
    <col min="7" max="7" width="25.5546875" customWidth="1"/>
    <col min="8" max="8" width="18.88671875" customWidth="1"/>
    <col min="9" max="9" width="17" bestFit="1" customWidth="1"/>
    <col min="10" max="10" width="10.77734375" customWidth="1"/>
    <col min="11" max="11" width="12.88671875" customWidth="1"/>
    <col min="12" max="12" width="15.77734375" customWidth="1"/>
    <col min="13" max="13" width="15.77734375" bestFit="1" customWidth="1"/>
    <col min="14" max="14" width="9.6640625" customWidth="1"/>
    <col min="15" max="15" width="12.109375" bestFit="1" customWidth="1"/>
    <col min="16" max="16" width="14.109375" bestFit="1" customWidth="1"/>
    <col min="17" max="18" width="9" bestFit="1" customWidth="1"/>
    <col min="19" max="19" width="9.88671875" bestFit="1" customWidth="1"/>
  </cols>
  <sheetData>
    <row r="2" spans="1:19" ht="25.8" x14ac:dyDescent="0.5">
      <c r="A2" s="72" t="s">
        <v>68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1"/>
      <c r="O2" s="1"/>
    </row>
    <row r="3" spans="1:19" x14ac:dyDescent="0.3">
      <c r="A3" s="3"/>
      <c r="C3" s="2"/>
      <c r="D3" s="2"/>
      <c r="E3" s="2"/>
      <c r="H3" s="2"/>
      <c r="I3" s="2"/>
      <c r="L3" s="2"/>
      <c r="M3" s="2"/>
    </row>
    <row r="4" spans="1:19" ht="18" x14ac:dyDescent="0.3">
      <c r="A4" s="9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94</v>
      </c>
      <c r="H4" s="10" t="s">
        <v>7</v>
      </c>
      <c r="I4" s="10" t="s">
        <v>93</v>
      </c>
      <c r="J4" s="10" t="s">
        <v>8</v>
      </c>
      <c r="K4" s="10" t="s">
        <v>9</v>
      </c>
      <c r="L4" s="10" t="s">
        <v>71</v>
      </c>
      <c r="M4" s="10" t="s">
        <v>10</v>
      </c>
    </row>
    <row r="5" spans="1:19" ht="18" x14ac:dyDescent="0.3">
      <c r="A5" s="11">
        <v>45744</v>
      </c>
      <c r="B5" s="12">
        <v>12</v>
      </c>
      <c r="C5" s="12">
        <v>336</v>
      </c>
      <c r="D5" s="12" t="s">
        <v>69</v>
      </c>
      <c r="E5" s="12" t="s">
        <v>70</v>
      </c>
      <c r="F5" s="12" t="s">
        <v>13</v>
      </c>
      <c r="G5" s="12" t="s">
        <v>90</v>
      </c>
      <c r="H5" s="12">
        <v>5407</v>
      </c>
      <c r="I5" s="12">
        <v>7</v>
      </c>
      <c r="J5" s="12">
        <v>465</v>
      </c>
      <c r="K5" s="12">
        <f t="shared" ref="K5:K36" si="0">J5*I5</f>
        <v>3255</v>
      </c>
      <c r="L5" s="12">
        <f>K5*0.05</f>
        <v>162.75</v>
      </c>
      <c r="M5" s="12">
        <f>K5-L5</f>
        <v>3092.25</v>
      </c>
      <c r="O5" s="6"/>
    </row>
    <row r="6" spans="1:19" ht="18" x14ac:dyDescent="0.3">
      <c r="A6" s="11">
        <v>45744</v>
      </c>
      <c r="B6" s="12">
        <v>12</v>
      </c>
      <c r="C6" s="12">
        <v>336</v>
      </c>
      <c r="D6" s="12" t="s">
        <v>69</v>
      </c>
      <c r="E6" s="12" t="s">
        <v>70</v>
      </c>
      <c r="F6" s="12" t="s">
        <v>79</v>
      </c>
      <c r="G6" s="12" t="s">
        <v>89</v>
      </c>
      <c r="H6" s="12">
        <v>5407</v>
      </c>
      <c r="I6" s="12">
        <v>5</v>
      </c>
      <c r="J6" s="12">
        <v>595</v>
      </c>
      <c r="K6" s="12">
        <f t="shared" si="0"/>
        <v>2975</v>
      </c>
      <c r="L6" s="12">
        <f t="shared" ref="L6:L7" si="1">K6*0.05</f>
        <v>148.75</v>
      </c>
      <c r="M6" s="12">
        <f t="shared" ref="M6:M58" si="2">K6-L6</f>
        <v>2826.25</v>
      </c>
    </row>
    <row r="7" spans="1:19" ht="18" x14ac:dyDescent="0.3">
      <c r="A7" s="11">
        <v>45744</v>
      </c>
      <c r="B7" s="12">
        <v>12</v>
      </c>
      <c r="C7" s="12">
        <v>336</v>
      </c>
      <c r="D7" s="12" t="s">
        <v>69</v>
      </c>
      <c r="E7" s="12" t="s">
        <v>70</v>
      </c>
      <c r="F7" s="12" t="s">
        <v>80</v>
      </c>
      <c r="G7" s="12" t="s">
        <v>90</v>
      </c>
      <c r="H7" s="12">
        <v>5407</v>
      </c>
      <c r="I7" s="12">
        <v>5</v>
      </c>
      <c r="J7" s="12">
        <v>695</v>
      </c>
      <c r="K7" s="12">
        <f t="shared" si="0"/>
        <v>3475</v>
      </c>
      <c r="L7" s="12">
        <f t="shared" si="1"/>
        <v>173.75</v>
      </c>
      <c r="M7" s="12">
        <f t="shared" si="2"/>
        <v>3301.25</v>
      </c>
      <c r="P7" s="27"/>
      <c r="Q7" s="27"/>
      <c r="R7" s="27"/>
      <c r="S7" s="27"/>
    </row>
    <row r="8" spans="1:19" ht="18" x14ac:dyDescent="0.3">
      <c r="A8" s="11">
        <v>45744</v>
      </c>
      <c r="B8" s="12">
        <v>12</v>
      </c>
      <c r="C8" s="12">
        <v>336</v>
      </c>
      <c r="D8" s="12" t="s">
        <v>69</v>
      </c>
      <c r="E8" s="12" t="s">
        <v>70</v>
      </c>
      <c r="F8" s="12" t="s">
        <v>18</v>
      </c>
      <c r="G8" s="12" t="s">
        <v>90</v>
      </c>
      <c r="H8" s="12">
        <v>5407</v>
      </c>
      <c r="I8" s="12">
        <v>4</v>
      </c>
      <c r="J8" s="12">
        <v>400</v>
      </c>
      <c r="K8" s="12">
        <f t="shared" si="0"/>
        <v>1600</v>
      </c>
      <c r="L8" s="12">
        <f>K8*0.03</f>
        <v>48</v>
      </c>
      <c r="M8" s="12">
        <f t="shared" si="2"/>
        <v>1552</v>
      </c>
      <c r="P8" s="27"/>
      <c r="Q8" s="31"/>
      <c r="R8" s="31"/>
      <c r="S8" s="31"/>
    </row>
    <row r="9" spans="1:19" ht="18" x14ac:dyDescent="0.3">
      <c r="A9" s="11">
        <v>45744</v>
      </c>
      <c r="B9" s="12">
        <v>12</v>
      </c>
      <c r="C9" s="12">
        <v>336</v>
      </c>
      <c r="D9" s="12" t="s">
        <v>69</v>
      </c>
      <c r="E9" s="12" t="s">
        <v>70</v>
      </c>
      <c r="F9" s="12" t="s">
        <v>19</v>
      </c>
      <c r="G9" s="12" t="s">
        <v>90</v>
      </c>
      <c r="H9" s="12">
        <v>5407</v>
      </c>
      <c r="I9" s="12">
        <v>6</v>
      </c>
      <c r="J9" s="12">
        <v>425</v>
      </c>
      <c r="K9" s="12">
        <f t="shared" si="0"/>
        <v>2550</v>
      </c>
      <c r="L9" s="12">
        <f t="shared" ref="L9:L21" si="3">K9*0.03</f>
        <v>76.5</v>
      </c>
      <c r="M9" s="12">
        <f t="shared" si="2"/>
        <v>2473.5</v>
      </c>
      <c r="P9" s="27"/>
      <c r="Q9" s="31"/>
      <c r="R9" s="31"/>
      <c r="S9" s="31"/>
    </row>
    <row r="10" spans="1:19" ht="18" x14ac:dyDescent="0.3">
      <c r="A10" s="11">
        <v>45744</v>
      </c>
      <c r="B10" s="12">
        <v>12</v>
      </c>
      <c r="C10" s="12">
        <v>336</v>
      </c>
      <c r="D10" s="12" t="s">
        <v>69</v>
      </c>
      <c r="E10" s="12" t="s">
        <v>70</v>
      </c>
      <c r="F10" s="12" t="s">
        <v>20</v>
      </c>
      <c r="G10" s="12" t="s">
        <v>89</v>
      </c>
      <c r="H10" s="12">
        <v>5407</v>
      </c>
      <c r="I10" s="12">
        <v>4</v>
      </c>
      <c r="J10" s="12">
        <v>500</v>
      </c>
      <c r="K10" s="12">
        <f t="shared" si="0"/>
        <v>2000</v>
      </c>
      <c r="L10" s="12">
        <f t="shared" si="3"/>
        <v>60</v>
      </c>
      <c r="M10" s="12">
        <f t="shared" si="2"/>
        <v>1940</v>
      </c>
      <c r="P10" s="27"/>
      <c r="Q10" s="31"/>
      <c r="R10" s="31"/>
      <c r="S10" s="31"/>
    </row>
    <row r="11" spans="1:19" ht="18" x14ac:dyDescent="0.3">
      <c r="A11" s="11">
        <v>45744</v>
      </c>
      <c r="B11" s="12">
        <v>12</v>
      </c>
      <c r="C11" s="12">
        <v>336</v>
      </c>
      <c r="D11" s="12" t="s">
        <v>69</v>
      </c>
      <c r="E11" s="12" t="s">
        <v>70</v>
      </c>
      <c r="F11" s="12" t="s">
        <v>21</v>
      </c>
      <c r="G11" s="12" t="s">
        <v>89</v>
      </c>
      <c r="H11" s="12">
        <v>5407</v>
      </c>
      <c r="I11" s="12">
        <v>3</v>
      </c>
      <c r="J11" s="12">
        <v>875</v>
      </c>
      <c r="K11" s="12">
        <f t="shared" si="0"/>
        <v>2625</v>
      </c>
      <c r="L11" s="12">
        <f t="shared" si="3"/>
        <v>78.75</v>
      </c>
      <c r="M11" s="12">
        <f t="shared" si="2"/>
        <v>2546.25</v>
      </c>
      <c r="P11" s="27"/>
      <c r="Q11" s="31"/>
      <c r="R11" s="31"/>
      <c r="S11" s="31"/>
    </row>
    <row r="12" spans="1:19" ht="18" x14ac:dyDescent="0.3">
      <c r="A12" s="11">
        <v>45744</v>
      </c>
      <c r="B12" s="12">
        <v>12</v>
      </c>
      <c r="C12" s="12">
        <v>336</v>
      </c>
      <c r="D12" s="12" t="s">
        <v>69</v>
      </c>
      <c r="E12" s="12" t="s">
        <v>70</v>
      </c>
      <c r="F12" s="12" t="s">
        <v>22</v>
      </c>
      <c r="G12" s="12" t="s">
        <v>87</v>
      </c>
      <c r="H12" s="12">
        <v>5407</v>
      </c>
      <c r="I12" s="12">
        <v>4</v>
      </c>
      <c r="J12" s="12">
        <v>750</v>
      </c>
      <c r="K12" s="12">
        <f t="shared" si="0"/>
        <v>3000</v>
      </c>
      <c r="L12" s="12">
        <f t="shared" si="3"/>
        <v>90</v>
      </c>
      <c r="M12" s="12">
        <f t="shared" si="2"/>
        <v>2910</v>
      </c>
      <c r="P12" s="27"/>
      <c r="Q12" s="31"/>
      <c r="R12" s="31"/>
      <c r="S12" s="31"/>
    </row>
    <row r="13" spans="1:19" ht="18" x14ac:dyDescent="0.3">
      <c r="A13" s="11">
        <v>45744</v>
      </c>
      <c r="B13" s="12">
        <v>12</v>
      </c>
      <c r="C13" s="12">
        <v>336</v>
      </c>
      <c r="D13" s="12" t="s">
        <v>69</v>
      </c>
      <c r="E13" s="12" t="s">
        <v>70</v>
      </c>
      <c r="F13" s="12" t="s">
        <v>23</v>
      </c>
      <c r="G13" s="12" t="s">
        <v>87</v>
      </c>
      <c r="H13" s="12">
        <v>5407</v>
      </c>
      <c r="I13" s="12">
        <v>4</v>
      </c>
      <c r="J13" s="12">
        <v>695</v>
      </c>
      <c r="K13" s="12">
        <f t="shared" si="0"/>
        <v>2780</v>
      </c>
      <c r="L13" s="12">
        <f t="shared" si="3"/>
        <v>83.399999999999991</v>
      </c>
      <c r="M13" s="12">
        <f t="shared" si="2"/>
        <v>2696.6</v>
      </c>
      <c r="P13" s="27"/>
      <c r="Q13" s="31"/>
      <c r="R13" s="31"/>
      <c r="S13" s="31"/>
    </row>
    <row r="14" spans="1:19" ht="18" x14ac:dyDescent="0.3">
      <c r="A14" s="11">
        <v>45721</v>
      </c>
      <c r="B14" s="12">
        <v>11</v>
      </c>
      <c r="C14" s="12">
        <v>335</v>
      </c>
      <c r="D14" s="12" t="s">
        <v>72</v>
      </c>
      <c r="E14" s="12" t="s">
        <v>73</v>
      </c>
      <c r="F14" s="12" t="s">
        <v>26</v>
      </c>
      <c r="G14" s="12" t="s">
        <v>88</v>
      </c>
      <c r="H14" s="12">
        <v>5408</v>
      </c>
      <c r="I14" s="12">
        <v>4</v>
      </c>
      <c r="J14" s="12">
        <v>850</v>
      </c>
      <c r="K14" s="12">
        <f t="shared" si="0"/>
        <v>3400</v>
      </c>
      <c r="L14" s="12">
        <f>K14*0</f>
        <v>0</v>
      </c>
      <c r="M14" s="12">
        <f t="shared" si="2"/>
        <v>3400</v>
      </c>
      <c r="P14" s="36"/>
      <c r="Q14" s="31"/>
      <c r="R14" s="31"/>
      <c r="S14" s="31"/>
    </row>
    <row r="15" spans="1:19" ht="18" x14ac:dyDescent="0.3">
      <c r="A15" s="11">
        <v>45721</v>
      </c>
      <c r="B15" s="12">
        <v>11</v>
      </c>
      <c r="C15" s="12">
        <v>335</v>
      </c>
      <c r="D15" s="12" t="s">
        <v>72</v>
      </c>
      <c r="E15" s="12" t="s">
        <v>73</v>
      </c>
      <c r="F15" s="12" t="s">
        <v>27</v>
      </c>
      <c r="G15" s="12" t="s">
        <v>88</v>
      </c>
      <c r="H15" s="12">
        <v>5408</v>
      </c>
      <c r="I15" s="12">
        <v>9</v>
      </c>
      <c r="J15" s="12">
        <v>900</v>
      </c>
      <c r="K15" s="12">
        <f t="shared" si="0"/>
        <v>8100</v>
      </c>
      <c r="L15" s="12">
        <f t="shared" ref="L15:L17" si="4">K15*0</f>
        <v>0</v>
      </c>
      <c r="M15" s="12">
        <f t="shared" si="2"/>
        <v>8100</v>
      </c>
      <c r="P15" s="36"/>
      <c r="Q15" s="31"/>
      <c r="R15" s="31"/>
      <c r="S15" s="31"/>
    </row>
    <row r="16" spans="1:19" ht="18" x14ac:dyDescent="0.3">
      <c r="A16" s="11">
        <v>45721</v>
      </c>
      <c r="B16" s="12">
        <v>11</v>
      </c>
      <c r="C16" s="12">
        <v>335</v>
      </c>
      <c r="D16" s="12" t="s">
        <v>72</v>
      </c>
      <c r="E16" s="12" t="s">
        <v>73</v>
      </c>
      <c r="F16" s="12" t="s">
        <v>28</v>
      </c>
      <c r="G16" s="12" t="s">
        <v>88</v>
      </c>
      <c r="H16" s="12">
        <v>5408</v>
      </c>
      <c r="I16" s="12">
        <v>23</v>
      </c>
      <c r="J16" s="12">
        <v>900</v>
      </c>
      <c r="K16" s="12">
        <f t="shared" si="0"/>
        <v>20700</v>
      </c>
      <c r="L16" s="12">
        <f t="shared" si="4"/>
        <v>0</v>
      </c>
      <c r="M16" s="12">
        <f t="shared" si="2"/>
        <v>20700</v>
      </c>
    </row>
    <row r="17" spans="1:15" ht="18" x14ac:dyDescent="0.3">
      <c r="A17" s="11">
        <v>45721</v>
      </c>
      <c r="B17" s="12">
        <v>11</v>
      </c>
      <c r="C17" s="12">
        <v>335</v>
      </c>
      <c r="D17" s="12" t="s">
        <v>72</v>
      </c>
      <c r="E17" s="12" t="s">
        <v>73</v>
      </c>
      <c r="F17" s="12" t="s">
        <v>29</v>
      </c>
      <c r="G17" s="12" t="s">
        <v>88</v>
      </c>
      <c r="H17" s="12">
        <v>5408</v>
      </c>
      <c r="I17" s="12">
        <v>20</v>
      </c>
      <c r="J17" s="12">
        <v>1600</v>
      </c>
      <c r="K17" s="12">
        <f t="shared" si="0"/>
        <v>32000</v>
      </c>
      <c r="L17" s="12">
        <f t="shared" si="4"/>
        <v>0</v>
      </c>
      <c r="M17" s="12">
        <f t="shared" si="2"/>
        <v>32000</v>
      </c>
    </row>
    <row r="18" spans="1:15" ht="18" x14ac:dyDescent="0.3">
      <c r="A18" s="11">
        <v>45706</v>
      </c>
      <c r="B18" s="12">
        <v>10</v>
      </c>
      <c r="C18" s="12">
        <v>334</v>
      </c>
      <c r="D18" s="12" t="s">
        <v>74</v>
      </c>
      <c r="E18" s="12" t="s">
        <v>73</v>
      </c>
      <c r="F18" s="12" t="s">
        <v>20</v>
      </c>
      <c r="G18" s="12" t="s">
        <v>89</v>
      </c>
      <c r="H18" s="12">
        <v>5407</v>
      </c>
      <c r="I18" s="12">
        <v>12</v>
      </c>
      <c r="J18" s="12">
        <v>500</v>
      </c>
      <c r="K18" s="12">
        <f t="shared" si="0"/>
        <v>6000</v>
      </c>
      <c r="L18" s="12">
        <f t="shared" si="3"/>
        <v>180</v>
      </c>
      <c r="M18" s="12">
        <f>K18-L18</f>
        <v>5820</v>
      </c>
      <c r="O18" s="6"/>
    </row>
    <row r="19" spans="1:15" ht="18" x14ac:dyDescent="0.3">
      <c r="A19" s="11">
        <v>45706</v>
      </c>
      <c r="B19" s="12">
        <v>10</v>
      </c>
      <c r="C19" s="12">
        <v>334</v>
      </c>
      <c r="D19" s="12" t="s">
        <v>74</v>
      </c>
      <c r="E19" s="12" t="s">
        <v>73</v>
      </c>
      <c r="F19" s="12" t="s">
        <v>33</v>
      </c>
      <c r="G19" s="12" t="s">
        <v>90</v>
      </c>
      <c r="H19" s="12">
        <v>5407</v>
      </c>
      <c r="I19" s="12">
        <v>4</v>
      </c>
      <c r="J19" s="12">
        <v>440</v>
      </c>
      <c r="K19" s="12">
        <f t="shared" si="0"/>
        <v>1760</v>
      </c>
      <c r="L19" s="12">
        <f t="shared" si="3"/>
        <v>52.8</v>
      </c>
      <c r="M19" s="12">
        <f t="shared" si="2"/>
        <v>1707.2</v>
      </c>
    </row>
    <row r="20" spans="1:15" ht="18" x14ac:dyDescent="0.3">
      <c r="A20" s="11">
        <v>45706</v>
      </c>
      <c r="B20" s="12">
        <v>10</v>
      </c>
      <c r="C20" s="12">
        <v>334</v>
      </c>
      <c r="D20" s="12" t="s">
        <v>74</v>
      </c>
      <c r="E20" s="12" t="s">
        <v>73</v>
      </c>
      <c r="F20" s="12" t="s">
        <v>34</v>
      </c>
      <c r="G20" s="12" t="s">
        <v>90</v>
      </c>
      <c r="H20" s="12">
        <v>5407</v>
      </c>
      <c r="I20" s="12">
        <v>18</v>
      </c>
      <c r="J20" s="12">
        <v>415</v>
      </c>
      <c r="K20" s="12">
        <f t="shared" si="0"/>
        <v>7470</v>
      </c>
      <c r="L20" s="12">
        <f t="shared" si="3"/>
        <v>224.1</v>
      </c>
      <c r="M20" s="12">
        <f t="shared" si="2"/>
        <v>7245.9</v>
      </c>
    </row>
    <row r="21" spans="1:15" ht="18" x14ac:dyDescent="0.3">
      <c r="A21" s="11">
        <v>45706</v>
      </c>
      <c r="B21" s="12">
        <v>10</v>
      </c>
      <c r="C21" s="12">
        <v>334</v>
      </c>
      <c r="D21" s="12" t="s">
        <v>74</v>
      </c>
      <c r="E21" s="12" t="s">
        <v>73</v>
      </c>
      <c r="F21" s="12" t="s">
        <v>34</v>
      </c>
      <c r="G21" s="12" t="s">
        <v>90</v>
      </c>
      <c r="H21" s="12">
        <v>5407</v>
      </c>
      <c r="I21" s="12">
        <v>6</v>
      </c>
      <c r="J21" s="12">
        <v>400</v>
      </c>
      <c r="K21" s="12">
        <f t="shared" si="0"/>
        <v>2400</v>
      </c>
      <c r="L21" s="12">
        <f t="shared" si="3"/>
        <v>72</v>
      </c>
      <c r="M21" s="12">
        <f t="shared" si="2"/>
        <v>2328</v>
      </c>
    </row>
    <row r="22" spans="1:15" ht="18" x14ac:dyDescent="0.3">
      <c r="A22" s="11">
        <v>45700</v>
      </c>
      <c r="B22" s="12">
        <v>9</v>
      </c>
      <c r="C22" s="12">
        <v>334</v>
      </c>
      <c r="D22" s="12" t="s">
        <v>75</v>
      </c>
      <c r="E22" s="12" t="s">
        <v>73</v>
      </c>
      <c r="F22" s="12" t="s">
        <v>36</v>
      </c>
      <c r="G22" s="12" t="s">
        <v>90</v>
      </c>
      <c r="H22" s="12">
        <v>5407</v>
      </c>
      <c r="I22" s="12">
        <v>115</v>
      </c>
      <c r="J22" s="12">
        <v>415</v>
      </c>
      <c r="K22" s="12">
        <f t="shared" si="0"/>
        <v>47725</v>
      </c>
      <c r="L22" s="12">
        <f>K22*0</f>
        <v>0</v>
      </c>
      <c r="M22" s="12">
        <f t="shared" si="2"/>
        <v>47725</v>
      </c>
    </row>
    <row r="23" spans="1:15" ht="18" x14ac:dyDescent="0.3">
      <c r="A23" s="11">
        <v>45700</v>
      </c>
      <c r="B23" s="12">
        <v>9</v>
      </c>
      <c r="C23" s="12">
        <v>334</v>
      </c>
      <c r="D23" s="12" t="s">
        <v>75</v>
      </c>
      <c r="E23" s="12" t="s">
        <v>73</v>
      </c>
      <c r="F23" s="12" t="s">
        <v>37</v>
      </c>
      <c r="G23" s="12" t="s">
        <v>90</v>
      </c>
      <c r="H23" s="12">
        <v>5407</v>
      </c>
      <c r="I23" s="12">
        <v>15</v>
      </c>
      <c r="J23" s="12">
        <v>440</v>
      </c>
      <c r="K23" s="12">
        <f t="shared" si="0"/>
        <v>6600</v>
      </c>
      <c r="L23" s="12">
        <f t="shared" ref="L23:L58" si="5">K23*0</f>
        <v>0</v>
      </c>
      <c r="M23" s="12">
        <f t="shared" si="2"/>
        <v>6600</v>
      </c>
    </row>
    <row r="24" spans="1:15" ht="18" x14ac:dyDescent="0.3">
      <c r="A24" s="11">
        <v>45700</v>
      </c>
      <c r="B24" s="12">
        <v>9</v>
      </c>
      <c r="C24" s="12">
        <v>334</v>
      </c>
      <c r="D24" s="12" t="s">
        <v>75</v>
      </c>
      <c r="E24" s="12" t="s">
        <v>73</v>
      </c>
      <c r="F24" s="12" t="s">
        <v>38</v>
      </c>
      <c r="G24" s="12" t="s">
        <v>87</v>
      </c>
      <c r="H24" s="12">
        <v>5407</v>
      </c>
      <c r="I24" s="12">
        <v>34</v>
      </c>
      <c r="J24" s="12">
        <v>725</v>
      </c>
      <c r="K24" s="12">
        <f t="shared" si="0"/>
        <v>24650</v>
      </c>
      <c r="L24" s="12">
        <f t="shared" si="5"/>
        <v>0</v>
      </c>
      <c r="M24" s="12">
        <f t="shared" si="2"/>
        <v>24650</v>
      </c>
    </row>
    <row r="25" spans="1:15" ht="18" x14ac:dyDescent="0.3">
      <c r="A25" s="11">
        <v>45700</v>
      </c>
      <c r="B25" s="12">
        <v>9</v>
      </c>
      <c r="C25" s="12">
        <v>334</v>
      </c>
      <c r="D25" s="12" t="s">
        <v>75</v>
      </c>
      <c r="E25" s="12" t="s">
        <v>73</v>
      </c>
      <c r="F25" s="12" t="s">
        <v>39</v>
      </c>
      <c r="G25" s="12" t="s">
        <v>87</v>
      </c>
      <c r="H25" s="12">
        <v>5407</v>
      </c>
      <c r="I25" s="12">
        <v>10</v>
      </c>
      <c r="J25" s="12">
        <v>950</v>
      </c>
      <c r="K25" s="12">
        <f t="shared" si="0"/>
        <v>9500</v>
      </c>
      <c r="L25" s="12">
        <f t="shared" si="5"/>
        <v>0</v>
      </c>
      <c r="M25" s="12">
        <f t="shared" si="2"/>
        <v>9500</v>
      </c>
    </row>
    <row r="26" spans="1:15" ht="18" x14ac:dyDescent="0.3">
      <c r="A26" s="11">
        <v>45700</v>
      </c>
      <c r="B26" s="12">
        <v>9</v>
      </c>
      <c r="C26" s="12">
        <v>334</v>
      </c>
      <c r="D26" s="12" t="s">
        <v>75</v>
      </c>
      <c r="E26" s="12" t="s">
        <v>73</v>
      </c>
      <c r="F26" s="12" t="s">
        <v>22</v>
      </c>
      <c r="G26" s="12" t="s">
        <v>87</v>
      </c>
      <c r="H26" s="12">
        <v>5407</v>
      </c>
      <c r="I26" s="12">
        <v>9</v>
      </c>
      <c r="J26" s="12">
        <v>825</v>
      </c>
      <c r="K26" s="12">
        <f t="shared" si="0"/>
        <v>7425</v>
      </c>
      <c r="L26" s="12">
        <f t="shared" si="5"/>
        <v>0</v>
      </c>
      <c r="M26" s="12">
        <f t="shared" si="2"/>
        <v>7425</v>
      </c>
    </row>
    <row r="27" spans="1:15" ht="18" x14ac:dyDescent="0.3">
      <c r="A27" s="11">
        <v>45700</v>
      </c>
      <c r="B27" s="12">
        <v>9</v>
      </c>
      <c r="C27" s="12">
        <v>334</v>
      </c>
      <c r="D27" s="12" t="s">
        <v>75</v>
      </c>
      <c r="E27" s="12" t="s">
        <v>73</v>
      </c>
      <c r="F27" s="12" t="s">
        <v>22</v>
      </c>
      <c r="G27" s="12" t="s">
        <v>87</v>
      </c>
      <c r="H27" s="12">
        <v>5407</v>
      </c>
      <c r="I27" s="12">
        <v>9</v>
      </c>
      <c r="J27" s="12">
        <v>925</v>
      </c>
      <c r="K27" s="12">
        <f t="shared" si="0"/>
        <v>8325</v>
      </c>
      <c r="L27" s="12">
        <f t="shared" si="5"/>
        <v>0</v>
      </c>
      <c r="M27" s="12">
        <f t="shared" si="2"/>
        <v>8325</v>
      </c>
    </row>
    <row r="28" spans="1:15" ht="18" x14ac:dyDescent="0.3">
      <c r="A28" s="11">
        <v>45700</v>
      </c>
      <c r="B28" s="12">
        <v>9</v>
      </c>
      <c r="C28" s="12">
        <v>334</v>
      </c>
      <c r="D28" s="12" t="s">
        <v>75</v>
      </c>
      <c r="E28" s="12" t="s">
        <v>73</v>
      </c>
      <c r="F28" s="12" t="s">
        <v>40</v>
      </c>
      <c r="G28" s="12" t="s">
        <v>87</v>
      </c>
      <c r="H28" s="12">
        <v>5408</v>
      </c>
      <c r="I28" s="12">
        <v>13</v>
      </c>
      <c r="J28" s="12">
        <v>1550</v>
      </c>
      <c r="K28" s="12">
        <f t="shared" si="0"/>
        <v>20150</v>
      </c>
      <c r="L28" s="12">
        <f t="shared" si="5"/>
        <v>0</v>
      </c>
      <c r="M28" s="12">
        <f t="shared" si="2"/>
        <v>20150</v>
      </c>
    </row>
    <row r="29" spans="1:15" ht="18" x14ac:dyDescent="0.3">
      <c r="A29" s="11">
        <v>45696</v>
      </c>
      <c r="B29" s="12">
        <v>8</v>
      </c>
      <c r="C29" s="12">
        <v>333</v>
      </c>
      <c r="D29" s="12" t="s">
        <v>75</v>
      </c>
      <c r="E29" s="12" t="s">
        <v>73</v>
      </c>
      <c r="F29" s="12" t="s">
        <v>47</v>
      </c>
      <c r="G29" s="12" t="s">
        <v>88</v>
      </c>
      <c r="H29" s="12">
        <v>5408</v>
      </c>
      <c r="I29" s="12">
        <v>6</v>
      </c>
      <c r="J29" s="12">
        <v>1095</v>
      </c>
      <c r="K29" s="12">
        <f t="shared" si="0"/>
        <v>6570</v>
      </c>
      <c r="L29" s="12">
        <f t="shared" si="5"/>
        <v>0</v>
      </c>
      <c r="M29" s="12">
        <f t="shared" si="2"/>
        <v>6570</v>
      </c>
    </row>
    <row r="30" spans="1:15" ht="18" x14ac:dyDescent="0.3">
      <c r="A30" s="11">
        <v>45696</v>
      </c>
      <c r="B30" s="12">
        <v>8</v>
      </c>
      <c r="C30" s="12">
        <v>333</v>
      </c>
      <c r="D30" s="12" t="s">
        <v>75</v>
      </c>
      <c r="E30" s="12" t="s">
        <v>73</v>
      </c>
      <c r="F30" s="12" t="s">
        <v>51</v>
      </c>
      <c r="G30" s="12" t="s">
        <v>87</v>
      </c>
      <c r="H30" s="12">
        <v>5408</v>
      </c>
      <c r="I30" s="12">
        <v>14</v>
      </c>
      <c r="J30" s="12">
        <v>975</v>
      </c>
      <c r="K30" s="12">
        <f t="shared" si="0"/>
        <v>13650</v>
      </c>
      <c r="L30" s="12">
        <f t="shared" si="5"/>
        <v>0</v>
      </c>
      <c r="M30" s="12">
        <f t="shared" si="2"/>
        <v>13650</v>
      </c>
    </row>
    <row r="31" spans="1:15" ht="18" x14ac:dyDescent="0.3">
      <c r="A31" s="11">
        <v>45694</v>
      </c>
      <c r="B31" s="12">
        <v>7</v>
      </c>
      <c r="C31" s="12">
        <v>332</v>
      </c>
      <c r="D31" s="12" t="s">
        <v>75</v>
      </c>
      <c r="E31" s="12" t="s">
        <v>73</v>
      </c>
      <c r="F31" s="12" t="s">
        <v>42</v>
      </c>
      <c r="G31" s="12" t="s">
        <v>87</v>
      </c>
      <c r="H31" s="12">
        <v>5407</v>
      </c>
      <c r="I31" s="12">
        <v>65</v>
      </c>
      <c r="J31" s="12">
        <v>395</v>
      </c>
      <c r="K31" s="12">
        <f t="shared" si="0"/>
        <v>25675</v>
      </c>
      <c r="L31" s="12">
        <f t="shared" si="5"/>
        <v>0</v>
      </c>
      <c r="M31" s="12">
        <f t="shared" si="2"/>
        <v>25675</v>
      </c>
    </row>
    <row r="32" spans="1:15" ht="18" x14ac:dyDescent="0.3">
      <c r="A32" s="11">
        <v>45694</v>
      </c>
      <c r="B32" s="12">
        <v>7</v>
      </c>
      <c r="C32" s="12">
        <v>332</v>
      </c>
      <c r="D32" s="12" t="s">
        <v>75</v>
      </c>
      <c r="E32" s="12" t="s">
        <v>73</v>
      </c>
      <c r="F32" s="12" t="s">
        <v>43</v>
      </c>
      <c r="G32" s="12" t="s">
        <v>87</v>
      </c>
      <c r="H32" s="12">
        <v>5407</v>
      </c>
      <c r="I32" s="12">
        <v>51</v>
      </c>
      <c r="J32" s="12">
        <v>425</v>
      </c>
      <c r="K32" s="12">
        <f t="shared" si="0"/>
        <v>21675</v>
      </c>
      <c r="L32" s="12">
        <f t="shared" si="5"/>
        <v>0</v>
      </c>
      <c r="M32" s="12">
        <f t="shared" si="2"/>
        <v>21675</v>
      </c>
    </row>
    <row r="33" spans="1:13" ht="18" x14ac:dyDescent="0.3">
      <c r="A33" s="11">
        <v>45694</v>
      </c>
      <c r="B33" s="12">
        <v>7</v>
      </c>
      <c r="C33" s="12">
        <v>332</v>
      </c>
      <c r="D33" s="12" t="s">
        <v>75</v>
      </c>
      <c r="E33" s="12" t="s">
        <v>73</v>
      </c>
      <c r="F33" s="12" t="s">
        <v>44</v>
      </c>
      <c r="G33" s="12" t="s">
        <v>89</v>
      </c>
      <c r="H33" s="12">
        <v>5407</v>
      </c>
      <c r="I33" s="12">
        <v>14</v>
      </c>
      <c r="J33" s="12">
        <v>995</v>
      </c>
      <c r="K33" s="12">
        <f t="shared" si="0"/>
        <v>13930</v>
      </c>
      <c r="L33" s="12">
        <f t="shared" si="5"/>
        <v>0</v>
      </c>
      <c r="M33" s="12">
        <f t="shared" si="2"/>
        <v>13930</v>
      </c>
    </row>
    <row r="34" spans="1:13" ht="18" x14ac:dyDescent="0.3">
      <c r="A34" s="11">
        <v>45689</v>
      </c>
      <c r="B34" s="12">
        <v>6</v>
      </c>
      <c r="C34" s="12">
        <v>331</v>
      </c>
      <c r="D34" s="12" t="s">
        <v>72</v>
      </c>
      <c r="E34" s="12" t="s">
        <v>73</v>
      </c>
      <c r="F34" s="12" t="s">
        <v>53</v>
      </c>
      <c r="G34" s="12" t="s">
        <v>90</v>
      </c>
      <c r="H34" s="12">
        <v>5407</v>
      </c>
      <c r="I34" s="12">
        <v>17</v>
      </c>
      <c r="J34" s="12">
        <v>950</v>
      </c>
      <c r="K34" s="12">
        <f t="shared" si="0"/>
        <v>16150</v>
      </c>
      <c r="L34" s="12">
        <f t="shared" si="5"/>
        <v>0</v>
      </c>
      <c r="M34" s="12">
        <f t="shared" si="2"/>
        <v>16150</v>
      </c>
    </row>
    <row r="35" spans="1:13" ht="18" x14ac:dyDescent="0.3">
      <c r="A35" s="11">
        <v>45689</v>
      </c>
      <c r="B35" s="12">
        <v>6</v>
      </c>
      <c r="C35" s="12">
        <v>331</v>
      </c>
      <c r="D35" s="12" t="s">
        <v>72</v>
      </c>
      <c r="E35" s="12" t="s">
        <v>73</v>
      </c>
      <c r="F35" s="12" t="s">
        <v>28</v>
      </c>
      <c r="G35" s="12" t="s">
        <v>90</v>
      </c>
      <c r="H35" s="12">
        <v>5408</v>
      </c>
      <c r="I35" s="12">
        <v>22</v>
      </c>
      <c r="J35" s="12">
        <v>900</v>
      </c>
      <c r="K35" s="12">
        <f t="shared" si="0"/>
        <v>19800</v>
      </c>
      <c r="L35" s="12">
        <f t="shared" si="5"/>
        <v>0</v>
      </c>
      <c r="M35" s="12">
        <f t="shared" si="2"/>
        <v>19800</v>
      </c>
    </row>
    <row r="36" spans="1:13" ht="18" x14ac:dyDescent="0.3">
      <c r="A36" s="11">
        <v>45684</v>
      </c>
      <c r="B36" s="12">
        <v>5</v>
      </c>
      <c r="C36" s="12">
        <v>330</v>
      </c>
      <c r="D36" s="12" t="s">
        <v>75</v>
      </c>
      <c r="E36" s="12" t="s">
        <v>73</v>
      </c>
      <c r="F36" s="12" t="s">
        <v>34</v>
      </c>
      <c r="G36" s="12" t="s">
        <v>90</v>
      </c>
      <c r="H36" s="12">
        <v>5407</v>
      </c>
      <c r="I36" s="12">
        <v>31</v>
      </c>
      <c r="J36" s="12">
        <v>425</v>
      </c>
      <c r="K36" s="12">
        <f t="shared" si="0"/>
        <v>13175</v>
      </c>
      <c r="L36" s="12">
        <f t="shared" si="5"/>
        <v>0</v>
      </c>
      <c r="M36" s="12">
        <f t="shared" si="2"/>
        <v>13175</v>
      </c>
    </row>
    <row r="37" spans="1:13" ht="18" x14ac:dyDescent="0.3">
      <c r="A37" s="11">
        <v>45684</v>
      </c>
      <c r="B37" s="12">
        <v>5</v>
      </c>
      <c r="C37" s="12">
        <v>330</v>
      </c>
      <c r="D37" s="12" t="s">
        <v>75</v>
      </c>
      <c r="E37" s="12" t="s">
        <v>73</v>
      </c>
      <c r="F37" s="12" t="s">
        <v>81</v>
      </c>
      <c r="G37" s="12" t="s">
        <v>90</v>
      </c>
      <c r="H37" s="12">
        <v>5407</v>
      </c>
      <c r="I37" s="12">
        <v>14</v>
      </c>
      <c r="J37" s="12">
        <v>625</v>
      </c>
      <c r="K37" s="12">
        <f t="shared" ref="K37:K58" si="6">J37*I37</f>
        <v>8750</v>
      </c>
      <c r="L37" s="12">
        <f t="shared" si="5"/>
        <v>0</v>
      </c>
      <c r="M37" s="12">
        <f t="shared" si="2"/>
        <v>8750</v>
      </c>
    </row>
    <row r="38" spans="1:13" ht="18" x14ac:dyDescent="0.3">
      <c r="A38" s="11">
        <v>45684</v>
      </c>
      <c r="B38" s="12">
        <v>5</v>
      </c>
      <c r="C38" s="12">
        <v>330</v>
      </c>
      <c r="D38" s="12" t="s">
        <v>75</v>
      </c>
      <c r="E38" s="12" t="s">
        <v>73</v>
      </c>
      <c r="F38" s="12" t="s">
        <v>82</v>
      </c>
      <c r="G38" s="12" t="s">
        <v>90</v>
      </c>
      <c r="H38" s="12">
        <v>5407</v>
      </c>
      <c r="I38" s="12">
        <v>7</v>
      </c>
      <c r="J38" s="12">
        <v>560</v>
      </c>
      <c r="K38" s="12">
        <f t="shared" si="6"/>
        <v>3920</v>
      </c>
      <c r="L38" s="12">
        <f t="shared" si="5"/>
        <v>0</v>
      </c>
      <c r="M38" s="12">
        <f t="shared" si="2"/>
        <v>3920</v>
      </c>
    </row>
    <row r="39" spans="1:13" ht="18" x14ac:dyDescent="0.3">
      <c r="A39" s="11">
        <v>45684</v>
      </c>
      <c r="B39" s="12">
        <v>5</v>
      </c>
      <c r="C39" s="12">
        <v>330</v>
      </c>
      <c r="D39" s="12" t="s">
        <v>75</v>
      </c>
      <c r="E39" s="12" t="s">
        <v>73</v>
      </c>
      <c r="F39" s="12" t="s">
        <v>83</v>
      </c>
      <c r="G39" s="12" t="s">
        <v>90</v>
      </c>
      <c r="H39" s="12">
        <v>5407</v>
      </c>
      <c r="I39" s="12">
        <v>7</v>
      </c>
      <c r="J39" s="12">
        <v>795</v>
      </c>
      <c r="K39" s="12">
        <f t="shared" si="6"/>
        <v>5565</v>
      </c>
      <c r="L39" s="12">
        <f t="shared" si="5"/>
        <v>0</v>
      </c>
      <c r="M39" s="12">
        <f t="shared" si="2"/>
        <v>5565</v>
      </c>
    </row>
    <row r="40" spans="1:13" ht="18" x14ac:dyDescent="0.3">
      <c r="A40" s="11">
        <v>45684</v>
      </c>
      <c r="B40" s="12">
        <v>5</v>
      </c>
      <c r="C40" s="12">
        <v>330</v>
      </c>
      <c r="D40" s="12" t="s">
        <v>75</v>
      </c>
      <c r="E40" s="12" t="s">
        <v>73</v>
      </c>
      <c r="F40" s="12" t="s">
        <v>47</v>
      </c>
      <c r="G40" s="12" t="s">
        <v>90</v>
      </c>
      <c r="H40" s="12">
        <v>5408</v>
      </c>
      <c r="I40" s="12">
        <v>6</v>
      </c>
      <c r="J40" s="12">
        <v>1890</v>
      </c>
      <c r="K40" s="12">
        <f t="shared" si="6"/>
        <v>11340</v>
      </c>
      <c r="L40" s="12">
        <f t="shared" si="5"/>
        <v>0</v>
      </c>
      <c r="M40" s="12">
        <f t="shared" si="2"/>
        <v>11340</v>
      </c>
    </row>
    <row r="41" spans="1:13" ht="18" x14ac:dyDescent="0.3">
      <c r="A41" s="11">
        <v>45684</v>
      </c>
      <c r="B41" s="12">
        <v>5</v>
      </c>
      <c r="C41" s="12">
        <v>330</v>
      </c>
      <c r="D41" s="12" t="s">
        <v>75</v>
      </c>
      <c r="E41" s="12" t="s">
        <v>73</v>
      </c>
      <c r="F41" s="12" t="s">
        <v>76</v>
      </c>
      <c r="G41" s="12" t="s">
        <v>90</v>
      </c>
      <c r="H41" s="12">
        <v>5408</v>
      </c>
      <c r="I41" s="12">
        <v>6</v>
      </c>
      <c r="J41" s="12">
        <v>1950</v>
      </c>
      <c r="K41" s="12">
        <f t="shared" si="6"/>
        <v>11700</v>
      </c>
      <c r="L41" s="12">
        <f t="shared" si="5"/>
        <v>0</v>
      </c>
      <c r="M41" s="12">
        <f t="shared" si="2"/>
        <v>11700</v>
      </c>
    </row>
    <row r="42" spans="1:13" ht="18" x14ac:dyDescent="0.3">
      <c r="A42" s="11">
        <v>45677</v>
      </c>
      <c r="B42" s="12">
        <v>4</v>
      </c>
      <c r="C42" s="12">
        <v>329</v>
      </c>
      <c r="D42" s="12" t="s">
        <v>75</v>
      </c>
      <c r="E42" s="12" t="s">
        <v>73</v>
      </c>
      <c r="F42" s="12" t="s">
        <v>77</v>
      </c>
      <c r="G42" s="12" t="s">
        <v>88</v>
      </c>
      <c r="H42" s="12">
        <v>5407</v>
      </c>
      <c r="I42" s="12">
        <v>36</v>
      </c>
      <c r="J42" s="12">
        <v>555</v>
      </c>
      <c r="K42" s="12">
        <f t="shared" si="6"/>
        <v>19980</v>
      </c>
      <c r="L42" s="12">
        <f t="shared" si="5"/>
        <v>0</v>
      </c>
      <c r="M42" s="12">
        <f t="shared" si="2"/>
        <v>19980</v>
      </c>
    </row>
    <row r="43" spans="1:13" ht="18" x14ac:dyDescent="0.3">
      <c r="A43" s="11">
        <v>45668</v>
      </c>
      <c r="B43" s="12">
        <v>3</v>
      </c>
      <c r="C43" s="12">
        <v>328</v>
      </c>
      <c r="D43" s="12" t="s">
        <v>75</v>
      </c>
      <c r="E43" s="12" t="s">
        <v>73</v>
      </c>
      <c r="F43" s="12" t="s">
        <v>78</v>
      </c>
      <c r="G43" s="12" t="s">
        <v>88</v>
      </c>
      <c r="H43" s="12">
        <v>5408</v>
      </c>
      <c r="I43" s="12">
        <v>17</v>
      </c>
      <c r="J43" s="12">
        <v>1550</v>
      </c>
      <c r="K43" s="12">
        <f t="shared" si="6"/>
        <v>26350</v>
      </c>
      <c r="L43" s="12">
        <f t="shared" si="5"/>
        <v>0</v>
      </c>
      <c r="M43" s="12">
        <f t="shared" si="2"/>
        <v>26350</v>
      </c>
    </row>
    <row r="44" spans="1:13" ht="18" x14ac:dyDescent="0.3">
      <c r="A44" s="11">
        <v>45668</v>
      </c>
      <c r="B44" s="12">
        <v>3</v>
      </c>
      <c r="C44" s="12">
        <v>328</v>
      </c>
      <c r="D44" s="12" t="s">
        <v>75</v>
      </c>
      <c r="E44" s="12" t="s">
        <v>73</v>
      </c>
      <c r="F44" s="12" t="s">
        <v>78</v>
      </c>
      <c r="G44" s="12" t="s">
        <v>88</v>
      </c>
      <c r="H44" s="12">
        <v>5408</v>
      </c>
      <c r="I44" s="12">
        <v>14</v>
      </c>
      <c r="J44" s="12">
        <v>1600</v>
      </c>
      <c r="K44" s="12">
        <f t="shared" si="6"/>
        <v>22400</v>
      </c>
      <c r="L44" s="12">
        <f t="shared" si="5"/>
        <v>0</v>
      </c>
      <c r="M44" s="12">
        <f t="shared" si="2"/>
        <v>22400</v>
      </c>
    </row>
    <row r="45" spans="1:13" ht="18" x14ac:dyDescent="0.3">
      <c r="A45" s="11">
        <v>45668</v>
      </c>
      <c r="B45" s="12">
        <v>3</v>
      </c>
      <c r="C45" s="12">
        <v>328</v>
      </c>
      <c r="D45" s="12" t="s">
        <v>75</v>
      </c>
      <c r="E45" s="12" t="s">
        <v>73</v>
      </c>
      <c r="F45" s="12" t="s">
        <v>78</v>
      </c>
      <c r="G45" s="12" t="s">
        <v>88</v>
      </c>
      <c r="H45" s="12">
        <v>5408</v>
      </c>
      <c r="I45" s="12">
        <v>6</v>
      </c>
      <c r="J45" s="12">
        <v>2450</v>
      </c>
      <c r="K45" s="12">
        <f t="shared" si="6"/>
        <v>14700</v>
      </c>
      <c r="L45" s="12">
        <f t="shared" si="5"/>
        <v>0</v>
      </c>
      <c r="M45" s="12">
        <f t="shared" si="2"/>
        <v>14700</v>
      </c>
    </row>
    <row r="46" spans="1:13" ht="18" x14ac:dyDescent="0.3">
      <c r="A46" s="11">
        <v>45668</v>
      </c>
      <c r="B46" s="12">
        <v>3</v>
      </c>
      <c r="C46" s="12">
        <v>328</v>
      </c>
      <c r="D46" s="12" t="s">
        <v>75</v>
      </c>
      <c r="E46" s="12" t="s">
        <v>73</v>
      </c>
      <c r="F46" s="12" t="s">
        <v>78</v>
      </c>
      <c r="G46" s="12" t="s">
        <v>88</v>
      </c>
      <c r="H46" s="12">
        <v>5408</v>
      </c>
      <c r="I46" s="12">
        <v>6</v>
      </c>
      <c r="J46" s="12">
        <v>3450</v>
      </c>
      <c r="K46" s="12">
        <f t="shared" si="6"/>
        <v>20700</v>
      </c>
      <c r="L46" s="12">
        <f t="shared" si="5"/>
        <v>0</v>
      </c>
      <c r="M46" s="12">
        <f t="shared" si="2"/>
        <v>20700</v>
      </c>
    </row>
    <row r="47" spans="1:13" ht="18" x14ac:dyDescent="0.3">
      <c r="A47" s="11">
        <v>45658</v>
      </c>
      <c r="B47" s="12">
        <v>2</v>
      </c>
      <c r="C47" s="12">
        <v>327</v>
      </c>
      <c r="D47" s="12" t="s">
        <v>72</v>
      </c>
      <c r="E47" s="12" t="s">
        <v>73</v>
      </c>
      <c r="F47" s="12" t="s">
        <v>55</v>
      </c>
      <c r="G47" s="12" t="s">
        <v>90</v>
      </c>
      <c r="H47" s="12">
        <v>5407</v>
      </c>
      <c r="I47" s="12">
        <v>32</v>
      </c>
      <c r="J47" s="12">
        <v>475</v>
      </c>
      <c r="K47" s="12">
        <f t="shared" si="6"/>
        <v>15200</v>
      </c>
      <c r="L47" s="12">
        <f t="shared" si="5"/>
        <v>0</v>
      </c>
      <c r="M47" s="12">
        <f t="shared" si="2"/>
        <v>15200</v>
      </c>
    </row>
    <row r="48" spans="1:13" ht="18" x14ac:dyDescent="0.3">
      <c r="A48" s="11">
        <v>45658</v>
      </c>
      <c r="B48" s="12">
        <v>2</v>
      </c>
      <c r="C48" s="12">
        <v>327</v>
      </c>
      <c r="D48" s="12" t="s">
        <v>72</v>
      </c>
      <c r="E48" s="12" t="s">
        <v>73</v>
      </c>
      <c r="F48" s="12" t="s">
        <v>56</v>
      </c>
      <c r="G48" s="12" t="s">
        <v>91</v>
      </c>
      <c r="H48" s="12">
        <v>5407</v>
      </c>
      <c r="I48" s="12">
        <v>10</v>
      </c>
      <c r="J48" s="12">
        <v>530</v>
      </c>
      <c r="K48" s="12">
        <f t="shared" si="6"/>
        <v>5300</v>
      </c>
      <c r="L48" s="12">
        <f t="shared" si="5"/>
        <v>0</v>
      </c>
      <c r="M48" s="12">
        <f t="shared" si="2"/>
        <v>5300</v>
      </c>
    </row>
    <row r="49" spans="1:13" ht="18" x14ac:dyDescent="0.3">
      <c r="A49" s="11">
        <v>45658</v>
      </c>
      <c r="B49" s="12">
        <v>2</v>
      </c>
      <c r="C49" s="12">
        <v>327</v>
      </c>
      <c r="D49" s="12" t="s">
        <v>72</v>
      </c>
      <c r="E49" s="12" t="s">
        <v>73</v>
      </c>
      <c r="F49" s="12" t="s">
        <v>57</v>
      </c>
      <c r="G49" s="12" t="s">
        <v>87</v>
      </c>
      <c r="H49" s="12">
        <v>5407</v>
      </c>
      <c r="I49" s="12">
        <v>5</v>
      </c>
      <c r="J49" s="12">
        <v>860</v>
      </c>
      <c r="K49" s="12">
        <f t="shared" si="6"/>
        <v>4300</v>
      </c>
      <c r="L49" s="12">
        <f t="shared" si="5"/>
        <v>0</v>
      </c>
      <c r="M49" s="12">
        <f t="shared" si="2"/>
        <v>4300</v>
      </c>
    </row>
    <row r="50" spans="1:13" ht="18" x14ac:dyDescent="0.3">
      <c r="A50" s="11">
        <v>45658</v>
      </c>
      <c r="B50" s="12">
        <v>2</v>
      </c>
      <c r="C50" s="12">
        <v>327</v>
      </c>
      <c r="D50" s="12" t="s">
        <v>72</v>
      </c>
      <c r="E50" s="12" t="s">
        <v>73</v>
      </c>
      <c r="F50" s="12" t="s">
        <v>58</v>
      </c>
      <c r="G50" s="12" t="s">
        <v>87</v>
      </c>
      <c r="H50" s="12">
        <v>5407</v>
      </c>
      <c r="I50" s="12">
        <v>5</v>
      </c>
      <c r="J50" s="12">
        <v>860</v>
      </c>
      <c r="K50" s="12">
        <f t="shared" si="6"/>
        <v>4300</v>
      </c>
      <c r="L50" s="12">
        <f t="shared" si="5"/>
        <v>0</v>
      </c>
      <c r="M50" s="12">
        <f t="shared" si="2"/>
        <v>4300</v>
      </c>
    </row>
    <row r="51" spans="1:13" ht="18" x14ac:dyDescent="0.3">
      <c r="A51" s="11">
        <v>45658</v>
      </c>
      <c r="B51" s="12">
        <v>2</v>
      </c>
      <c r="C51" s="12">
        <v>327</v>
      </c>
      <c r="D51" s="12" t="s">
        <v>72</v>
      </c>
      <c r="E51" s="12" t="s">
        <v>73</v>
      </c>
      <c r="F51" s="12" t="s">
        <v>59</v>
      </c>
      <c r="G51" s="12" t="s">
        <v>87</v>
      </c>
      <c r="H51" s="12">
        <v>5407</v>
      </c>
      <c r="I51" s="12">
        <v>5</v>
      </c>
      <c r="J51" s="12">
        <v>860</v>
      </c>
      <c r="K51" s="12">
        <f t="shared" si="6"/>
        <v>4300</v>
      </c>
      <c r="L51" s="12">
        <f t="shared" si="5"/>
        <v>0</v>
      </c>
      <c r="M51" s="12">
        <f t="shared" si="2"/>
        <v>4300</v>
      </c>
    </row>
    <row r="52" spans="1:13" ht="18" x14ac:dyDescent="0.3">
      <c r="A52" s="11">
        <v>45658</v>
      </c>
      <c r="B52" s="12">
        <v>2</v>
      </c>
      <c r="C52" s="12">
        <v>327</v>
      </c>
      <c r="D52" s="12" t="s">
        <v>72</v>
      </c>
      <c r="E52" s="12" t="s">
        <v>73</v>
      </c>
      <c r="F52" s="12" t="s">
        <v>60</v>
      </c>
      <c r="G52" s="12" t="s">
        <v>87</v>
      </c>
      <c r="H52" s="12">
        <v>5407</v>
      </c>
      <c r="I52" s="12">
        <v>2</v>
      </c>
      <c r="J52" s="12">
        <v>910</v>
      </c>
      <c r="K52" s="12">
        <f t="shared" si="6"/>
        <v>1820</v>
      </c>
      <c r="L52" s="12">
        <f t="shared" si="5"/>
        <v>0</v>
      </c>
      <c r="M52" s="12">
        <f t="shared" si="2"/>
        <v>1820</v>
      </c>
    </row>
    <row r="53" spans="1:13" ht="18" x14ac:dyDescent="0.3">
      <c r="A53" s="11">
        <v>45658</v>
      </c>
      <c r="B53" s="12">
        <v>2</v>
      </c>
      <c r="C53" s="12">
        <v>327</v>
      </c>
      <c r="D53" s="12" t="s">
        <v>72</v>
      </c>
      <c r="E53" s="12" t="s">
        <v>73</v>
      </c>
      <c r="F53" s="12" t="s">
        <v>61</v>
      </c>
      <c r="G53" s="12" t="s">
        <v>87</v>
      </c>
      <c r="H53" s="12">
        <v>5407</v>
      </c>
      <c r="I53" s="12">
        <v>2</v>
      </c>
      <c r="J53" s="12">
        <v>910</v>
      </c>
      <c r="K53" s="12">
        <f t="shared" si="6"/>
        <v>1820</v>
      </c>
      <c r="L53" s="12">
        <f t="shared" si="5"/>
        <v>0</v>
      </c>
      <c r="M53" s="12">
        <f t="shared" si="2"/>
        <v>1820</v>
      </c>
    </row>
    <row r="54" spans="1:13" ht="18" x14ac:dyDescent="0.3">
      <c r="A54" s="11">
        <v>45658</v>
      </c>
      <c r="B54" s="12">
        <v>2</v>
      </c>
      <c r="C54" s="12">
        <v>327</v>
      </c>
      <c r="D54" s="12" t="s">
        <v>72</v>
      </c>
      <c r="E54" s="12" t="s">
        <v>73</v>
      </c>
      <c r="F54" s="12" t="s">
        <v>62</v>
      </c>
      <c r="G54" s="12" t="s">
        <v>87</v>
      </c>
      <c r="H54" s="12">
        <v>5407</v>
      </c>
      <c r="I54" s="12">
        <v>5</v>
      </c>
      <c r="J54" s="12">
        <v>895</v>
      </c>
      <c r="K54" s="12">
        <f t="shared" si="6"/>
        <v>4475</v>
      </c>
      <c r="L54" s="12">
        <f t="shared" si="5"/>
        <v>0</v>
      </c>
      <c r="M54" s="12">
        <f t="shared" si="2"/>
        <v>4475</v>
      </c>
    </row>
    <row r="55" spans="1:13" ht="18" x14ac:dyDescent="0.3">
      <c r="A55" s="11">
        <v>45658</v>
      </c>
      <c r="B55" s="12">
        <v>1</v>
      </c>
      <c r="C55" s="12">
        <v>326</v>
      </c>
      <c r="D55" s="12" t="s">
        <v>72</v>
      </c>
      <c r="E55" s="12" t="s">
        <v>73</v>
      </c>
      <c r="F55" s="12" t="s">
        <v>64</v>
      </c>
      <c r="G55" s="12" t="s">
        <v>90</v>
      </c>
      <c r="H55" s="12">
        <v>5208</v>
      </c>
      <c r="I55" s="12">
        <v>3</v>
      </c>
      <c r="J55" s="12">
        <v>2050</v>
      </c>
      <c r="K55" s="12">
        <f t="shared" si="6"/>
        <v>6150</v>
      </c>
      <c r="L55" s="12">
        <f t="shared" si="5"/>
        <v>0</v>
      </c>
      <c r="M55" s="12">
        <f t="shared" si="2"/>
        <v>6150</v>
      </c>
    </row>
    <row r="56" spans="1:13" ht="18" x14ac:dyDescent="0.3">
      <c r="A56" s="11">
        <v>45658</v>
      </c>
      <c r="B56" s="12">
        <v>1</v>
      </c>
      <c r="C56" s="12">
        <v>326</v>
      </c>
      <c r="D56" s="12" t="s">
        <v>72</v>
      </c>
      <c r="E56" s="12" t="s">
        <v>73</v>
      </c>
      <c r="F56" s="12" t="s">
        <v>65</v>
      </c>
      <c r="G56" s="12" t="s">
        <v>90</v>
      </c>
      <c r="H56" s="12">
        <v>5208</v>
      </c>
      <c r="I56" s="12">
        <v>3</v>
      </c>
      <c r="J56" s="12">
        <v>2100</v>
      </c>
      <c r="K56" s="12">
        <f t="shared" si="6"/>
        <v>6300</v>
      </c>
      <c r="L56" s="12">
        <f t="shared" si="5"/>
        <v>0</v>
      </c>
      <c r="M56" s="12">
        <f t="shared" si="2"/>
        <v>6300</v>
      </c>
    </row>
    <row r="57" spans="1:13" ht="18" x14ac:dyDescent="0.3">
      <c r="A57" s="11">
        <v>45658</v>
      </c>
      <c r="B57" s="12">
        <v>1</v>
      </c>
      <c r="C57" s="12">
        <v>326</v>
      </c>
      <c r="D57" s="12" t="s">
        <v>72</v>
      </c>
      <c r="E57" s="12" t="s">
        <v>73</v>
      </c>
      <c r="F57" s="12" t="s">
        <v>66</v>
      </c>
      <c r="G57" s="12" t="s">
        <v>90</v>
      </c>
      <c r="H57" s="12">
        <v>5208</v>
      </c>
      <c r="I57" s="12">
        <v>13</v>
      </c>
      <c r="J57" s="12">
        <v>800</v>
      </c>
      <c r="K57" s="12">
        <f t="shared" si="6"/>
        <v>10400</v>
      </c>
      <c r="L57" s="12">
        <f t="shared" si="5"/>
        <v>0</v>
      </c>
      <c r="M57" s="12">
        <f t="shared" si="2"/>
        <v>10400</v>
      </c>
    </row>
    <row r="58" spans="1:13" ht="18" x14ac:dyDescent="0.3">
      <c r="A58" s="11">
        <v>45658</v>
      </c>
      <c r="B58" s="12">
        <v>1</v>
      </c>
      <c r="C58" s="12">
        <v>326</v>
      </c>
      <c r="D58" s="12" t="s">
        <v>72</v>
      </c>
      <c r="E58" s="12" t="s">
        <v>73</v>
      </c>
      <c r="F58" s="12" t="s">
        <v>67</v>
      </c>
      <c r="G58" s="12" t="s">
        <v>90</v>
      </c>
      <c r="H58" s="12">
        <v>5407</v>
      </c>
      <c r="I58" s="12">
        <v>8</v>
      </c>
      <c r="J58" s="12">
        <v>625</v>
      </c>
      <c r="K58" s="12">
        <f t="shared" si="6"/>
        <v>5000</v>
      </c>
      <c r="L58" s="12">
        <f t="shared" si="5"/>
        <v>0</v>
      </c>
      <c r="M58" s="12">
        <f t="shared" si="2"/>
        <v>5000</v>
      </c>
    </row>
  </sheetData>
  <mergeCells count="1">
    <mergeCell ref="A2:M2"/>
  </mergeCells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EFD38-6736-4A6D-A3E3-20FF97DDAF40}">
  <dimension ref="C2:P45"/>
  <sheetViews>
    <sheetView zoomScale="74" workbookViewId="0">
      <selection activeCell="F40" sqref="F40"/>
    </sheetView>
  </sheetViews>
  <sheetFormatPr defaultRowHeight="14.4" x14ac:dyDescent="0.3"/>
  <cols>
    <col min="3" max="3" width="21.88671875" bestFit="1" customWidth="1"/>
    <col min="4" max="4" width="11.33203125" customWidth="1"/>
    <col min="5" max="5" width="15.21875" customWidth="1"/>
    <col min="6" max="6" width="17.77734375" customWidth="1"/>
    <col min="7" max="7" width="9.5546875" bestFit="1" customWidth="1"/>
    <col min="8" max="8" width="12.88671875" bestFit="1" customWidth="1"/>
    <col min="9" max="9" width="12" bestFit="1" customWidth="1"/>
    <col min="10" max="10" width="14.109375" bestFit="1" customWidth="1"/>
    <col min="11" max="11" width="22.21875" bestFit="1" customWidth="1"/>
    <col min="12" max="12" width="13.6640625" bestFit="1" customWidth="1"/>
    <col min="13" max="13" width="13.21875" bestFit="1" customWidth="1"/>
    <col min="14" max="14" width="18.21875" customWidth="1"/>
    <col min="15" max="15" width="12.77734375" bestFit="1" customWidth="1"/>
    <col min="16" max="16" width="11.88671875" bestFit="1" customWidth="1"/>
    <col min="17" max="17" width="22.21875" bestFit="1" customWidth="1"/>
    <col min="18" max="18" width="11.88671875" bestFit="1" customWidth="1"/>
  </cols>
  <sheetData>
    <row r="2" spans="3:16" ht="16.8" customHeight="1" x14ac:dyDescent="0.3">
      <c r="C2" s="71" t="s">
        <v>146</v>
      </c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</row>
    <row r="3" spans="3:16" ht="14.4" customHeight="1" x14ac:dyDescent="0.3"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</row>
    <row r="6" spans="3:16" ht="31.2" x14ac:dyDescent="0.6">
      <c r="C6" s="74" t="s">
        <v>157</v>
      </c>
      <c r="D6" s="74"/>
      <c r="E6" s="74"/>
      <c r="F6" s="74"/>
      <c r="G6" s="37"/>
      <c r="H6" s="37"/>
      <c r="I6" s="37"/>
      <c r="J6" s="37"/>
      <c r="K6" s="74" t="s">
        <v>158</v>
      </c>
      <c r="L6" s="74"/>
      <c r="M6" s="74"/>
      <c r="N6" s="74"/>
    </row>
    <row r="8" spans="3:16" ht="18" x14ac:dyDescent="0.35">
      <c r="C8" s="38" t="s">
        <v>156</v>
      </c>
      <c r="D8" s="38" t="s">
        <v>151</v>
      </c>
      <c r="E8" s="38" t="s">
        <v>8</v>
      </c>
      <c r="F8" s="38" t="s">
        <v>10</v>
      </c>
      <c r="G8" s="39"/>
      <c r="H8" s="39"/>
      <c r="I8" s="39"/>
      <c r="J8" s="39"/>
      <c r="K8" s="38" t="s">
        <v>156</v>
      </c>
      <c r="L8" s="38" t="s">
        <v>151</v>
      </c>
      <c r="M8" s="38" t="s">
        <v>8</v>
      </c>
      <c r="N8" s="38" t="s">
        <v>10</v>
      </c>
      <c r="O8" s="27"/>
    </row>
    <row r="9" spans="3:16" ht="18" x14ac:dyDescent="0.35">
      <c r="C9" s="39" t="s">
        <v>147</v>
      </c>
      <c r="D9" s="40">
        <v>14.351851851851851</v>
      </c>
      <c r="E9" s="40">
        <v>938.7962962962963</v>
      </c>
      <c r="F9" s="40">
        <v>10637.207407407406</v>
      </c>
      <c r="G9" s="39"/>
      <c r="H9" s="39"/>
      <c r="I9" s="39"/>
      <c r="J9" s="39"/>
      <c r="K9" s="39" t="s">
        <v>147</v>
      </c>
      <c r="L9" s="40">
        <v>13.877551020408163</v>
      </c>
      <c r="M9" s="40">
        <v>974.18367346938771</v>
      </c>
      <c r="N9" s="40">
        <v>10322.418367346938</v>
      </c>
      <c r="O9" s="27"/>
    </row>
    <row r="10" spans="3:16" ht="18" x14ac:dyDescent="0.35">
      <c r="C10" s="39" t="s">
        <v>137</v>
      </c>
      <c r="D10" s="40">
        <v>7.5</v>
      </c>
      <c r="E10" s="40">
        <v>837.5</v>
      </c>
      <c r="F10" s="40">
        <v>6922.95</v>
      </c>
      <c r="G10" s="39"/>
      <c r="H10" s="39"/>
      <c r="I10" s="39"/>
      <c r="J10" s="39"/>
      <c r="K10" s="39" t="s">
        <v>137</v>
      </c>
      <c r="L10" s="40">
        <v>7</v>
      </c>
      <c r="M10" s="40">
        <v>860</v>
      </c>
      <c r="N10" s="40">
        <v>6300</v>
      </c>
      <c r="O10" s="27"/>
    </row>
    <row r="11" spans="3:16" ht="18" x14ac:dyDescent="0.35">
      <c r="C11" s="39" t="s">
        <v>138</v>
      </c>
      <c r="D11" s="40">
        <v>6</v>
      </c>
      <c r="E11" s="40">
        <v>425</v>
      </c>
      <c r="F11" s="40">
        <v>4300</v>
      </c>
      <c r="G11" s="39"/>
      <c r="H11" s="39"/>
      <c r="I11" s="39"/>
      <c r="J11" s="39"/>
      <c r="K11" s="39" t="s">
        <v>138</v>
      </c>
      <c r="L11" s="40">
        <v>6</v>
      </c>
      <c r="M11" s="40">
        <v>900</v>
      </c>
      <c r="N11" s="40">
        <v>4300</v>
      </c>
      <c r="O11" s="27"/>
    </row>
    <row r="12" spans="3:16" ht="18" x14ac:dyDescent="0.35">
      <c r="C12" s="39" t="s">
        <v>148</v>
      </c>
      <c r="D12" s="40">
        <v>18.611375510497133</v>
      </c>
      <c r="E12" s="40">
        <v>604.31306330129075</v>
      </c>
      <c r="F12" s="40">
        <v>9402.8743930087039</v>
      </c>
      <c r="G12" s="39"/>
      <c r="H12" s="39"/>
      <c r="I12" s="39"/>
      <c r="J12" s="39"/>
      <c r="K12" s="39" t="s">
        <v>148</v>
      </c>
      <c r="L12" s="40">
        <v>19.090390965375338</v>
      </c>
      <c r="M12" s="40">
        <v>622.82985482491483</v>
      </c>
      <c r="N12" s="40">
        <v>9313.7949547616263</v>
      </c>
      <c r="O12" s="27"/>
    </row>
    <row r="13" spans="3:16" ht="18" x14ac:dyDescent="0.35">
      <c r="C13" s="39" t="s">
        <v>149</v>
      </c>
      <c r="D13" s="40">
        <v>2</v>
      </c>
      <c r="E13" s="40">
        <v>395</v>
      </c>
      <c r="F13" s="40">
        <v>1552</v>
      </c>
      <c r="G13" s="39"/>
      <c r="H13" s="39"/>
      <c r="I13" s="39"/>
      <c r="J13" s="39"/>
      <c r="K13" s="39" t="s">
        <v>149</v>
      </c>
      <c r="L13" s="40">
        <v>2</v>
      </c>
      <c r="M13" s="40">
        <v>395</v>
      </c>
      <c r="N13" s="40">
        <v>1520</v>
      </c>
      <c r="O13" s="27"/>
    </row>
    <row r="14" spans="3:16" ht="18" x14ac:dyDescent="0.35">
      <c r="C14" s="39" t="s">
        <v>150</v>
      </c>
      <c r="D14" s="40">
        <v>115</v>
      </c>
      <c r="E14" s="40">
        <v>3450</v>
      </c>
      <c r="F14" s="40">
        <v>47725</v>
      </c>
      <c r="G14" s="39"/>
      <c r="H14" s="39"/>
      <c r="I14" s="39"/>
      <c r="J14" s="39"/>
      <c r="K14" s="39" t="s">
        <v>150</v>
      </c>
      <c r="L14" s="40">
        <v>115</v>
      </c>
      <c r="M14" s="40">
        <v>3450</v>
      </c>
      <c r="N14" s="40">
        <v>45338.75</v>
      </c>
      <c r="O14" s="27"/>
    </row>
    <row r="15" spans="3:16" ht="18" x14ac:dyDescent="0.35">
      <c r="C15" s="39" t="s">
        <v>152</v>
      </c>
      <c r="D15" s="40">
        <v>5</v>
      </c>
      <c r="E15" s="40">
        <v>507.5</v>
      </c>
      <c r="F15" s="40">
        <v>3530</v>
      </c>
      <c r="G15" s="39"/>
      <c r="H15" s="39"/>
      <c r="I15" s="39"/>
      <c r="J15" s="39"/>
      <c r="K15" s="39" t="s">
        <v>152</v>
      </c>
      <c r="L15" s="40">
        <v>5</v>
      </c>
      <c r="M15" s="40">
        <v>500</v>
      </c>
      <c r="N15" s="40">
        <v>3301.25</v>
      </c>
      <c r="O15" s="27"/>
    </row>
    <row r="16" spans="3:16" ht="18" x14ac:dyDescent="0.35">
      <c r="C16" s="39" t="s">
        <v>153</v>
      </c>
      <c r="D16" s="40">
        <v>14.75</v>
      </c>
      <c r="E16" s="40">
        <v>950</v>
      </c>
      <c r="F16" s="40">
        <v>15075</v>
      </c>
      <c r="G16" s="39"/>
      <c r="H16" s="39"/>
      <c r="I16" s="39"/>
      <c r="J16" s="39"/>
      <c r="K16" s="39" t="s">
        <v>153</v>
      </c>
      <c r="L16" s="40">
        <v>14</v>
      </c>
      <c r="M16" s="40">
        <v>975</v>
      </c>
      <c r="N16" s="40">
        <v>14440</v>
      </c>
      <c r="O16" s="27"/>
    </row>
    <row r="17" spans="3:15" ht="18" x14ac:dyDescent="0.35">
      <c r="C17" s="39" t="s">
        <v>97</v>
      </c>
      <c r="D17" s="40">
        <v>775</v>
      </c>
      <c r="E17" s="40" t="s">
        <v>119</v>
      </c>
      <c r="F17" s="40" t="s">
        <v>119</v>
      </c>
      <c r="G17" s="39"/>
      <c r="H17" s="39"/>
      <c r="I17" s="39"/>
      <c r="J17" s="39"/>
      <c r="K17" s="39" t="s">
        <v>155</v>
      </c>
      <c r="L17" s="40">
        <v>680</v>
      </c>
      <c r="M17" s="40" t="s">
        <v>119</v>
      </c>
      <c r="N17" s="40" t="s">
        <v>119</v>
      </c>
      <c r="O17" s="27"/>
    </row>
    <row r="35" spans="3:16" x14ac:dyDescent="0.3">
      <c r="C35" s="73" t="s">
        <v>154</v>
      </c>
      <c r="D35" s="73"/>
      <c r="E35" s="73"/>
      <c r="F35" s="73"/>
      <c r="G35" s="73"/>
      <c r="H35" s="73"/>
      <c r="K35" s="73" t="s">
        <v>145</v>
      </c>
      <c r="L35" s="73"/>
      <c r="M35" s="73"/>
      <c r="N35" s="73"/>
      <c r="O35" s="73"/>
      <c r="P35" s="73"/>
    </row>
    <row r="37" spans="3:16" x14ac:dyDescent="0.3">
      <c r="C37" t="s">
        <v>136</v>
      </c>
      <c r="D37" s="34">
        <v>14.351851851851851</v>
      </c>
      <c r="E37" s="34">
        <v>938.7962962962963</v>
      </c>
      <c r="F37" s="34">
        <v>10664.074074074075</v>
      </c>
      <c r="G37" s="34">
        <v>14.351851851851851</v>
      </c>
      <c r="H37" s="34">
        <v>10637.207407407406</v>
      </c>
      <c r="K37" t="s">
        <v>136</v>
      </c>
      <c r="L37" s="34">
        <v>13.877551020408163</v>
      </c>
      <c r="M37" s="34">
        <v>974.18367346938771</v>
      </c>
      <c r="N37" s="34">
        <v>10703.469387755102</v>
      </c>
      <c r="O37" s="34">
        <v>381.05102040816325</v>
      </c>
      <c r="P37" s="34">
        <v>10322.418367346938</v>
      </c>
    </row>
    <row r="38" spans="3:16" x14ac:dyDescent="0.3">
      <c r="C38" t="s">
        <v>137</v>
      </c>
      <c r="D38" s="34">
        <v>7.5</v>
      </c>
      <c r="E38" s="34">
        <v>837.5</v>
      </c>
      <c r="F38" s="34">
        <v>7012.5</v>
      </c>
      <c r="G38" s="34">
        <v>7.5</v>
      </c>
      <c r="H38" s="34">
        <v>6922.95</v>
      </c>
      <c r="K38" t="s">
        <v>137</v>
      </c>
      <c r="L38" s="34">
        <v>7</v>
      </c>
      <c r="M38" s="34">
        <v>860</v>
      </c>
      <c r="N38" s="34">
        <v>6600</v>
      </c>
      <c r="O38" s="34">
        <v>173.75</v>
      </c>
      <c r="P38" s="34">
        <v>6300</v>
      </c>
    </row>
    <row r="39" spans="3:16" x14ac:dyDescent="0.3">
      <c r="C39" t="s">
        <v>138</v>
      </c>
      <c r="D39" s="34">
        <v>6</v>
      </c>
      <c r="E39" s="34">
        <v>425</v>
      </c>
      <c r="F39" s="34">
        <v>4300</v>
      </c>
      <c r="G39" s="34">
        <v>6</v>
      </c>
      <c r="H39" s="34">
        <v>4300</v>
      </c>
      <c r="K39" t="s">
        <v>138</v>
      </c>
      <c r="L39" s="34">
        <v>6</v>
      </c>
      <c r="M39" s="34">
        <v>900</v>
      </c>
      <c r="N39" s="34">
        <v>4300</v>
      </c>
      <c r="O39" s="34">
        <v>0</v>
      </c>
      <c r="P39" s="34">
        <v>4085</v>
      </c>
    </row>
    <row r="40" spans="3:16" x14ac:dyDescent="0.3">
      <c r="C40" t="s">
        <v>139</v>
      </c>
      <c r="D40" s="34">
        <v>18.611375510497133</v>
      </c>
      <c r="E40" s="34">
        <v>604.31306330129075</v>
      </c>
      <c r="F40" s="34">
        <v>9383.0745893404528</v>
      </c>
      <c r="G40" s="34">
        <v>18.611375510497133</v>
      </c>
      <c r="H40" s="34">
        <v>9402.8743930087039</v>
      </c>
      <c r="K40" t="s">
        <v>139</v>
      </c>
      <c r="L40" s="34">
        <v>19.090390965375338</v>
      </c>
      <c r="M40" s="34">
        <v>622.82985482491483</v>
      </c>
      <c r="N40" s="34">
        <v>9680.2167892865418</v>
      </c>
      <c r="O40" s="34">
        <v>489.84303390322953</v>
      </c>
      <c r="P40" s="34">
        <v>9313.7949547616263</v>
      </c>
    </row>
    <row r="41" spans="3:16" x14ac:dyDescent="0.3">
      <c r="C41" t="s">
        <v>140</v>
      </c>
      <c r="D41" s="34">
        <v>2</v>
      </c>
      <c r="E41" s="34">
        <v>395</v>
      </c>
      <c r="F41" s="34">
        <v>1600</v>
      </c>
      <c r="G41" s="34">
        <v>2</v>
      </c>
      <c r="H41" s="34">
        <v>1552</v>
      </c>
      <c r="K41" t="s">
        <v>140</v>
      </c>
      <c r="L41" s="34">
        <v>2</v>
      </c>
      <c r="M41" s="34">
        <v>395</v>
      </c>
      <c r="N41" s="34">
        <v>1600</v>
      </c>
      <c r="O41" s="34">
        <v>0</v>
      </c>
      <c r="P41" s="34">
        <v>1520</v>
      </c>
    </row>
    <row r="42" spans="3:16" x14ac:dyDescent="0.3">
      <c r="C42" t="s">
        <v>141</v>
      </c>
      <c r="D42" s="34">
        <v>115</v>
      </c>
      <c r="E42" s="34">
        <v>3450</v>
      </c>
      <c r="F42" s="34">
        <v>47725</v>
      </c>
      <c r="G42" s="34">
        <v>115</v>
      </c>
      <c r="H42" s="34">
        <v>47725</v>
      </c>
      <c r="K42" t="s">
        <v>141</v>
      </c>
      <c r="L42" s="34">
        <v>115</v>
      </c>
      <c r="M42" s="34">
        <v>3450</v>
      </c>
      <c r="N42" s="34">
        <v>47725</v>
      </c>
      <c r="O42" s="34">
        <v>2386.25</v>
      </c>
      <c r="P42" s="34">
        <v>45338.75</v>
      </c>
    </row>
    <row r="43" spans="3:16" x14ac:dyDescent="0.3">
      <c r="C43" t="s">
        <v>142</v>
      </c>
      <c r="D43" s="34">
        <v>775</v>
      </c>
      <c r="E43" s="34">
        <v>50695</v>
      </c>
      <c r="F43" s="34">
        <v>575860</v>
      </c>
      <c r="G43" s="34">
        <v>775</v>
      </c>
      <c r="H43" s="34">
        <v>574409.19999999995</v>
      </c>
      <c r="K43" t="s">
        <v>142</v>
      </c>
      <c r="L43" s="34">
        <v>680</v>
      </c>
      <c r="M43" s="34">
        <v>47735</v>
      </c>
      <c r="N43" s="34">
        <v>524470</v>
      </c>
      <c r="O43" s="34">
        <v>18671.5</v>
      </c>
      <c r="P43" s="34">
        <v>505798.5</v>
      </c>
    </row>
    <row r="44" spans="3:16" x14ac:dyDescent="0.3">
      <c r="C44" t="s">
        <v>143</v>
      </c>
      <c r="D44" s="34">
        <v>54</v>
      </c>
      <c r="E44" s="34">
        <v>54</v>
      </c>
      <c r="F44" s="34">
        <v>54</v>
      </c>
      <c r="G44" s="34">
        <v>54</v>
      </c>
      <c r="H44" s="34">
        <v>54</v>
      </c>
      <c r="K44" t="s">
        <v>143</v>
      </c>
      <c r="L44" s="34">
        <v>49</v>
      </c>
      <c r="M44" s="34">
        <v>49</v>
      </c>
      <c r="N44" s="34">
        <v>49</v>
      </c>
      <c r="O44" s="34">
        <v>49</v>
      </c>
      <c r="P44" s="34">
        <v>49</v>
      </c>
    </row>
    <row r="45" spans="3:16" ht="15" thickBot="1" x14ac:dyDescent="0.35">
      <c r="C45" s="33" t="s">
        <v>144</v>
      </c>
      <c r="D45" s="35">
        <v>5.0799276335706915</v>
      </c>
      <c r="E45" s="35">
        <v>164.94571440249132</v>
      </c>
      <c r="F45" s="35">
        <v>2561.0863564254814</v>
      </c>
      <c r="G45" s="35">
        <v>5.0799276335706915</v>
      </c>
      <c r="H45" s="35">
        <v>2566.4906625036051</v>
      </c>
      <c r="K45" s="33" t="s">
        <v>144</v>
      </c>
      <c r="L45" s="35">
        <v>5.4834005159456085</v>
      </c>
      <c r="M45" s="35">
        <v>178.89762202814686</v>
      </c>
      <c r="N45" s="35">
        <v>2780.4829054110228</v>
      </c>
      <c r="O45" s="35">
        <v>140.69934710656258</v>
      </c>
      <c r="P45" s="35">
        <v>2675.2342659184192</v>
      </c>
    </row>
  </sheetData>
  <mergeCells count="5">
    <mergeCell ref="C2:P3"/>
    <mergeCell ref="C35:H35"/>
    <mergeCell ref="K35:P35"/>
    <mergeCell ref="K6:N6"/>
    <mergeCell ref="C6:F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E637D-81E8-4D46-8BE2-6C838DBC9747}">
  <dimension ref="B2:N30"/>
  <sheetViews>
    <sheetView topLeftCell="A13" zoomScale="90" workbookViewId="0">
      <selection activeCell="D27" sqref="D27"/>
    </sheetView>
  </sheetViews>
  <sheetFormatPr defaultRowHeight="14.4" x14ac:dyDescent="0.3"/>
  <cols>
    <col min="2" max="2" width="17.88671875" bestFit="1" customWidth="1"/>
    <col min="3" max="3" width="13.109375" bestFit="1" customWidth="1"/>
    <col min="4" max="4" width="14.33203125" customWidth="1"/>
    <col min="5" max="5" width="17.33203125" customWidth="1"/>
    <col min="6" max="6" width="14.88671875" customWidth="1"/>
    <col min="7" max="7" width="12.21875" bestFit="1" customWidth="1"/>
    <col min="8" max="10" width="2" bestFit="1" customWidth="1"/>
    <col min="11" max="13" width="3" bestFit="1" customWidth="1"/>
    <col min="14" max="14" width="9.44140625" bestFit="1" customWidth="1"/>
    <col min="15" max="26" width="3" bestFit="1" customWidth="1"/>
    <col min="27" max="27" width="4" bestFit="1" customWidth="1"/>
    <col min="28" max="28" width="10.77734375" bestFit="1" customWidth="1"/>
    <col min="29" max="44" width="35" bestFit="1" customWidth="1"/>
    <col min="45" max="45" width="10.77734375" bestFit="1" customWidth="1"/>
  </cols>
  <sheetData>
    <row r="2" spans="2:14" ht="16.8" x14ac:dyDescent="0.3">
      <c r="B2" s="71" t="s">
        <v>135</v>
      </c>
      <c r="C2" s="71"/>
      <c r="D2" s="71"/>
      <c r="E2" s="71"/>
      <c r="F2" s="71"/>
    </row>
    <row r="5" spans="2:14" x14ac:dyDescent="0.3">
      <c r="B5" s="7" t="s">
        <v>94</v>
      </c>
      <c r="C5" t="s">
        <v>97</v>
      </c>
      <c r="D5" t="s">
        <v>100</v>
      </c>
      <c r="E5" t="s">
        <v>101</v>
      </c>
    </row>
    <row r="6" spans="2:14" x14ac:dyDescent="0.3">
      <c r="B6" s="8" t="s">
        <v>89</v>
      </c>
      <c r="C6">
        <v>38</v>
      </c>
      <c r="D6" s="14">
        <v>27062.5</v>
      </c>
      <c r="E6" s="14">
        <v>693</v>
      </c>
      <c r="F6" s="15"/>
    </row>
    <row r="7" spans="2:14" x14ac:dyDescent="0.3">
      <c r="B7" s="8" t="s">
        <v>87</v>
      </c>
      <c r="C7">
        <v>237</v>
      </c>
      <c r="D7" s="14">
        <v>157671.6</v>
      </c>
      <c r="E7" s="14">
        <v>844.375</v>
      </c>
      <c r="F7" s="15"/>
    </row>
    <row r="8" spans="2:14" x14ac:dyDescent="0.3">
      <c r="B8" s="8" t="s">
        <v>88</v>
      </c>
      <c r="C8">
        <v>141</v>
      </c>
      <c r="D8" s="14">
        <v>174900</v>
      </c>
      <c r="E8" s="14">
        <v>1495</v>
      </c>
      <c r="F8" s="15"/>
    </row>
    <row r="9" spans="2:14" x14ac:dyDescent="0.3">
      <c r="B9" s="8" t="s">
        <v>90</v>
      </c>
      <c r="C9">
        <v>349</v>
      </c>
      <c r="D9" s="14">
        <v>209475.1</v>
      </c>
      <c r="E9" s="14">
        <v>829.09090909090912</v>
      </c>
      <c r="F9" s="15"/>
      <c r="N9" s="14"/>
    </row>
    <row r="10" spans="2:14" x14ac:dyDescent="0.3">
      <c r="B10" s="8" t="s">
        <v>91</v>
      </c>
      <c r="C10">
        <v>10</v>
      </c>
      <c r="D10" s="14">
        <v>5300</v>
      </c>
      <c r="E10" s="14">
        <v>530</v>
      </c>
      <c r="F10" s="15"/>
    </row>
    <row r="11" spans="2:14" x14ac:dyDescent="0.3">
      <c r="B11" s="8" t="s">
        <v>16</v>
      </c>
      <c r="C11">
        <v>775</v>
      </c>
      <c r="D11" s="14">
        <v>574409.19999999995</v>
      </c>
      <c r="E11" s="14">
        <v>938.7962962962963</v>
      </c>
      <c r="F11" s="15"/>
    </row>
    <row r="13" spans="2:14" x14ac:dyDescent="0.3">
      <c r="B13" s="17" t="s">
        <v>94</v>
      </c>
      <c r="C13" s="17" t="s">
        <v>97</v>
      </c>
      <c r="D13" s="17" t="s">
        <v>100</v>
      </c>
      <c r="E13" s="17" t="s">
        <v>101</v>
      </c>
      <c r="F13" s="17" t="s">
        <v>102</v>
      </c>
      <c r="G13" s="17" t="s">
        <v>162</v>
      </c>
    </row>
    <row r="14" spans="2:14" x14ac:dyDescent="0.3">
      <c r="B14" t="s">
        <v>90</v>
      </c>
      <c r="C14">
        <v>349</v>
      </c>
      <c r="D14" s="14">
        <v>209475.1</v>
      </c>
      <c r="E14" s="14">
        <v>829.09090909090912</v>
      </c>
      <c r="F14" s="15">
        <v>0.36467922171163003</v>
      </c>
      <c r="G14" s="41" t="s">
        <v>163</v>
      </c>
    </row>
    <row r="15" spans="2:14" x14ac:dyDescent="0.3">
      <c r="B15" t="s">
        <v>88</v>
      </c>
      <c r="C15">
        <v>141</v>
      </c>
      <c r="D15" s="14">
        <v>174900</v>
      </c>
      <c r="E15" s="14">
        <v>1495</v>
      </c>
      <c r="F15" s="15">
        <v>0.30448676657685847</v>
      </c>
      <c r="G15" s="41" t="s">
        <v>163</v>
      </c>
    </row>
    <row r="16" spans="2:14" x14ac:dyDescent="0.3">
      <c r="B16" t="s">
        <v>87</v>
      </c>
      <c r="C16">
        <v>237</v>
      </c>
      <c r="D16" s="14">
        <v>157671.6</v>
      </c>
      <c r="E16" s="14">
        <v>844.375</v>
      </c>
      <c r="F16" s="15">
        <v>0.27449351437964437</v>
      </c>
      <c r="G16" s="41" t="s">
        <v>163</v>
      </c>
    </row>
    <row r="17" spans="2:7" x14ac:dyDescent="0.3">
      <c r="B17" t="s">
        <v>89</v>
      </c>
      <c r="C17">
        <v>38</v>
      </c>
      <c r="D17" s="14">
        <v>27062.5</v>
      </c>
      <c r="E17" s="14">
        <v>693</v>
      </c>
      <c r="F17" s="15">
        <v>4.7113625617416992E-2</v>
      </c>
      <c r="G17" s="42" t="s">
        <v>164</v>
      </c>
    </row>
    <row r="18" spans="2:7" x14ac:dyDescent="0.3">
      <c r="B18" t="s">
        <v>91</v>
      </c>
      <c r="C18">
        <v>10</v>
      </c>
      <c r="D18" s="14">
        <v>5300</v>
      </c>
      <c r="E18" s="14">
        <v>530</v>
      </c>
      <c r="F18" s="15">
        <v>9.226871714450257E-3</v>
      </c>
      <c r="G18" s="43" t="s">
        <v>165</v>
      </c>
    </row>
    <row r="19" spans="2:7" x14ac:dyDescent="0.3">
      <c r="B19" t="s">
        <v>16</v>
      </c>
      <c r="C19">
        <v>775</v>
      </c>
      <c r="D19" s="14">
        <v>574409.19999999995</v>
      </c>
      <c r="E19" s="14">
        <f>AVERAGE(E14:E18)</f>
        <v>878.29318181818178</v>
      </c>
      <c r="F19" s="16">
        <v>1</v>
      </c>
      <c r="G19" s="16"/>
    </row>
    <row r="25" spans="2:7" x14ac:dyDescent="0.3">
      <c r="B25" s="17" t="s">
        <v>94</v>
      </c>
      <c r="C25" s="17" t="s">
        <v>100</v>
      </c>
      <c r="D25" s="17" t="s">
        <v>162</v>
      </c>
    </row>
    <row r="26" spans="2:7" x14ac:dyDescent="0.3">
      <c r="B26" s="57" t="s">
        <v>173</v>
      </c>
      <c r="C26" s="66">
        <v>209475.1</v>
      </c>
      <c r="D26" s="41" t="s">
        <v>163</v>
      </c>
    </row>
    <row r="27" spans="2:7" x14ac:dyDescent="0.3">
      <c r="B27" s="58" t="s">
        <v>174</v>
      </c>
      <c r="C27" s="67">
        <v>174900</v>
      </c>
      <c r="D27" s="41" t="s">
        <v>163</v>
      </c>
    </row>
    <row r="28" spans="2:7" x14ac:dyDescent="0.3">
      <c r="B28" s="57" t="s">
        <v>175</v>
      </c>
      <c r="C28" s="66">
        <v>157671.6</v>
      </c>
      <c r="D28" s="41" t="s">
        <v>163</v>
      </c>
    </row>
    <row r="29" spans="2:7" x14ac:dyDescent="0.3">
      <c r="B29" s="58" t="s">
        <v>176</v>
      </c>
      <c r="C29" s="67">
        <v>27062.5</v>
      </c>
      <c r="D29" s="42" t="s">
        <v>164</v>
      </c>
    </row>
    <row r="30" spans="2:7" x14ac:dyDescent="0.3">
      <c r="B30" s="59" t="s">
        <v>177</v>
      </c>
      <c r="C30" s="68">
        <v>5300</v>
      </c>
      <c r="D30" s="43" t="s">
        <v>165</v>
      </c>
    </row>
  </sheetData>
  <sortState xmlns:xlrd2="http://schemas.microsoft.com/office/spreadsheetml/2017/richdata2" ref="B14:F18">
    <sortCondition descending="1" ref="F18"/>
  </sortState>
  <mergeCells count="1">
    <mergeCell ref="B2:F2"/>
  </mergeCells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39604-3477-442C-85A7-B42AFDD14F86}">
  <dimension ref="B2:H146"/>
  <sheetViews>
    <sheetView zoomScale="84" workbookViewId="0">
      <selection activeCell="F5" sqref="F5"/>
    </sheetView>
  </sheetViews>
  <sheetFormatPr defaultRowHeight="14.4" x14ac:dyDescent="0.3"/>
  <cols>
    <col min="3" max="3" width="33.88671875" bestFit="1" customWidth="1"/>
    <col min="4" max="4" width="16.44140625" bestFit="1" customWidth="1"/>
    <col min="5" max="5" width="20.109375" bestFit="1" customWidth="1"/>
    <col min="6" max="6" width="19.21875" bestFit="1" customWidth="1"/>
    <col min="7" max="7" width="12.21875" bestFit="1" customWidth="1"/>
    <col min="8" max="8" width="14.6640625" bestFit="1" customWidth="1"/>
    <col min="9" max="9" width="9.6640625" bestFit="1" customWidth="1"/>
    <col min="10" max="10" width="7" bestFit="1" customWidth="1"/>
    <col min="11" max="11" width="9" bestFit="1" customWidth="1"/>
    <col min="12" max="12" width="7" bestFit="1" customWidth="1"/>
    <col min="13" max="13" width="24.88671875" bestFit="1" customWidth="1"/>
    <col min="14" max="14" width="24" bestFit="1" customWidth="1"/>
  </cols>
  <sheetData>
    <row r="2" spans="2:8" ht="16.8" x14ac:dyDescent="0.3">
      <c r="B2" s="71" t="s">
        <v>110</v>
      </c>
      <c r="C2" s="71"/>
      <c r="D2" s="71"/>
      <c r="E2" s="71"/>
      <c r="F2" s="71"/>
      <c r="G2" s="71"/>
      <c r="H2" s="71"/>
    </row>
    <row r="4" spans="2:8" x14ac:dyDescent="0.3">
      <c r="B4" s="17" t="s">
        <v>108</v>
      </c>
      <c r="C4" s="17" t="s">
        <v>105</v>
      </c>
      <c r="D4" s="17" t="s">
        <v>94</v>
      </c>
      <c r="E4" s="17" t="s">
        <v>106</v>
      </c>
      <c r="F4" s="17" t="s">
        <v>100</v>
      </c>
      <c r="G4" s="17" t="s">
        <v>102</v>
      </c>
      <c r="H4" s="17" t="s">
        <v>109</v>
      </c>
    </row>
    <row r="5" spans="2:8" x14ac:dyDescent="0.3">
      <c r="B5" s="22">
        <v>1</v>
      </c>
      <c r="C5" s="22" t="s">
        <v>78</v>
      </c>
      <c r="D5" s="22" t="str" cm="1">
        <f t="array" ref="D5:D47">VLOOKUP(C5:C47,Sales!F4:G58,2,TRUE)</f>
        <v>Others</v>
      </c>
      <c r="E5" s="22">
        <v>43</v>
      </c>
      <c r="F5" s="23">
        <v>84150</v>
      </c>
      <c r="G5" s="24">
        <f t="shared" ref="G5:G47" si="0">F5/$F$146</f>
        <v>0.1464983499567904</v>
      </c>
      <c r="H5" s="24">
        <f>G5</f>
        <v>0.1464983499567904</v>
      </c>
    </row>
    <row r="6" spans="2:8" x14ac:dyDescent="0.3">
      <c r="B6" s="22">
        <v>2</v>
      </c>
      <c r="C6" s="22" t="s">
        <v>36</v>
      </c>
      <c r="D6" s="22" t="str">
        <v>Print</v>
      </c>
      <c r="E6" s="22">
        <v>115</v>
      </c>
      <c r="F6" s="23">
        <v>47725</v>
      </c>
      <c r="G6" s="24">
        <f t="shared" si="0"/>
        <v>8.3085368409837448E-2</v>
      </c>
      <c r="H6" s="24">
        <f>H5+G6</f>
        <v>0.22958371836662783</v>
      </c>
    </row>
    <row r="7" spans="2:8" x14ac:dyDescent="0.3">
      <c r="B7" s="22">
        <v>3</v>
      </c>
      <c r="C7" s="22" t="s">
        <v>28</v>
      </c>
      <c r="D7" s="22" t="str">
        <v>Print</v>
      </c>
      <c r="E7" s="22">
        <v>45</v>
      </c>
      <c r="F7" s="23">
        <v>40500</v>
      </c>
      <c r="G7" s="24">
        <f t="shared" si="0"/>
        <v>7.0507227251931204E-2</v>
      </c>
      <c r="H7" s="24">
        <f t="shared" ref="H7:H47" si="1">H6+G7</f>
        <v>0.30009094561855904</v>
      </c>
    </row>
    <row r="8" spans="2:8" x14ac:dyDescent="0.3">
      <c r="B8" s="22">
        <v>4</v>
      </c>
      <c r="C8" s="22" t="s">
        <v>29</v>
      </c>
      <c r="D8" s="22" t="str">
        <v>Print</v>
      </c>
      <c r="E8" s="22">
        <v>20</v>
      </c>
      <c r="F8" s="23">
        <v>32000</v>
      </c>
      <c r="G8" s="24">
        <f t="shared" si="0"/>
        <v>5.5709414124982683E-2</v>
      </c>
      <c r="H8" s="24">
        <f t="shared" si="1"/>
        <v>0.35580035974354174</v>
      </c>
    </row>
    <row r="9" spans="2:8" x14ac:dyDescent="0.3">
      <c r="B9" s="22">
        <v>5</v>
      </c>
      <c r="C9" s="22" t="s">
        <v>47</v>
      </c>
      <c r="D9" s="22" t="str">
        <v>Print</v>
      </c>
      <c r="E9" s="22">
        <v>18</v>
      </c>
      <c r="F9" s="23">
        <v>29610</v>
      </c>
      <c r="G9" s="24">
        <f t="shared" si="0"/>
        <v>5.1548617257523036E-2</v>
      </c>
      <c r="H9" s="24">
        <f t="shared" si="1"/>
        <v>0.40734897700106476</v>
      </c>
    </row>
    <row r="10" spans="2:8" x14ac:dyDescent="0.3">
      <c r="B10" s="22">
        <v>6</v>
      </c>
      <c r="C10" s="22" t="s">
        <v>42</v>
      </c>
      <c r="D10" s="22" t="str">
        <v>Handwork</v>
      </c>
      <c r="E10" s="22">
        <v>65</v>
      </c>
      <c r="F10" s="23">
        <v>25675</v>
      </c>
      <c r="G10" s="24">
        <f t="shared" si="0"/>
        <v>4.4698100239341572E-2</v>
      </c>
      <c r="H10" s="24">
        <f t="shared" si="1"/>
        <v>0.45204707724040633</v>
      </c>
    </row>
    <row r="11" spans="2:8" x14ac:dyDescent="0.3">
      <c r="B11" s="22">
        <v>7</v>
      </c>
      <c r="C11" s="22" t="s">
        <v>38</v>
      </c>
      <c r="D11" s="22" t="str">
        <v>Print</v>
      </c>
      <c r="E11" s="22">
        <v>34</v>
      </c>
      <c r="F11" s="23">
        <v>24650</v>
      </c>
      <c r="G11" s="24">
        <f t="shared" si="0"/>
        <v>4.2913658068150722E-2</v>
      </c>
      <c r="H11" s="24">
        <f t="shared" si="1"/>
        <v>0.49496073530855705</v>
      </c>
    </row>
    <row r="12" spans="2:8" x14ac:dyDescent="0.3">
      <c r="B12" s="22">
        <v>8</v>
      </c>
      <c r="C12" s="22" t="s">
        <v>84</v>
      </c>
      <c r="D12" s="22" t="str">
        <v>Print</v>
      </c>
      <c r="E12" s="22">
        <v>55</v>
      </c>
      <c r="F12" s="23">
        <v>22748.9</v>
      </c>
      <c r="G12" s="24">
        <f t="shared" si="0"/>
        <v>3.9603996593369335E-2</v>
      </c>
      <c r="H12" s="24">
        <f t="shared" si="1"/>
        <v>0.53456473190192644</v>
      </c>
    </row>
    <row r="13" spans="2:8" x14ac:dyDescent="0.3">
      <c r="B13" s="22">
        <v>9</v>
      </c>
      <c r="C13" s="22" t="s">
        <v>43</v>
      </c>
      <c r="D13" s="22" t="str">
        <v>Print</v>
      </c>
      <c r="E13" s="22">
        <v>51</v>
      </c>
      <c r="F13" s="23">
        <v>21675</v>
      </c>
      <c r="G13" s="24">
        <f t="shared" si="0"/>
        <v>3.7734423473718741E-2</v>
      </c>
      <c r="H13" s="24">
        <f t="shared" si="1"/>
        <v>0.57229915537564513</v>
      </c>
    </row>
    <row r="14" spans="2:8" x14ac:dyDescent="0.3">
      <c r="B14" s="22">
        <v>10</v>
      </c>
      <c r="C14" s="22" t="s">
        <v>40</v>
      </c>
      <c r="D14" s="22" t="str">
        <v>Print</v>
      </c>
      <c r="E14" s="22">
        <v>13</v>
      </c>
      <c r="F14" s="23">
        <v>20150</v>
      </c>
      <c r="G14" s="24">
        <f t="shared" si="0"/>
        <v>3.5079521706825031E-2</v>
      </c>
      <c r="H14" s="24">
        <f t="shared" si="1"/>
        <v>0.60737867708247018</v>
      </c>
    </row>
    <row r="15" spans="2:8" x14ac:dyDescent="0.3">
      <c r="B15" s="22">
        <v>11</v>
      </c>
      <c r="C15" s="22" t="s">
        <v>77</v>
      </c>
      <c r="D15" s="22" t="str">
        <v>Handwork</v>
      </c>
      <c r="E15" s="22">
        <v>36</v>
      </c>
      <c r="F15" s="23">
        <v>19980</v>
      </c>
      <c r="G15" s="24">
        <f t="shared" si="0"/>
        <v>3.4783565444286062E-2</v>
      </c>
      <c r="H15" s="24">
        <f t="shared" si="1"/>
        <v>0.64216224252675624</v>
      </c>
    </row>
    <row r="16" spans="2:8" x14ac:dyDescent="0.3">
      <c r="B16" s="22">
        <v>12</v>
      </c>
      <c r="C16" s="22" t="s">
        <v>22</v>
      </c>
      <c r="D16" s="22" t="str">
        <v>Brush</v>
      </c>
      <c r="E16" s="22">
        <v>22</v>
      </c>
      <c r="F16" s="23">
        <v>18660</v>
      </c>
      <c r="G16" s="24">
        <f t="shared" si="0"/>
        <v>3.2485552111630525E-2</v>
      </c>
      <c r="H16" s="24">
        <f t="shared" si="1"/>
        <v>0.67464779463838676</v>
      </c>
    </row>
    <row r="17" spans="2:8" x14ac:dyDescent="0.3">
      <c r="B17" s="22">
        <v>13</v>
      </c>
      <c r="C17" s="22" t="s">
        <v>53</v>
      </c>
      <c r="D17" s="22" t="str">
        <v>Print</v>
      </c>
      <c r="E17" s="22">
        <v>17</v>
      </c>
      <c r="F17" s="23">
        <v>16150</v>
      </c>
      <c r="G17" s="24">
        <f t="shared" si="0"/>
        <v>2.8115844941202197E-2</v>
      </c>
      <c r="H17" s="24">
        <f t="shared" si="1"/>
        <v>0.70276363957958898</v>
      </c>
    </row>
    <row r="18" spans="2:8" x14ac:dyDescent="0.3">
      <c r="B18">
        <v>14</v>
      </c>
      <c r="C18" t="s">
        <v>55</v>
      </c>
      <c r="D18" t="str">
        <v>Print</v>
      </c>
      <c r="E18">
        <v>32</v>
      </c>
      <c r="F18" s="18">
        <v>15200</v>
      </c>
      <c r="G18" s="20">
        <f t="shared" si="0"/>
        <v>2.6461971709366774E-2</v>
      </c>
      <c r="H18" s="21">
        <f t="shared" si="1"/>
        <v>0.7292256112889558</v>
      </c>
    </row>
    <row r="19" spans="2:8" x14ac:dyDescent="0.3">
      <c r="B19">
        <v>15</v>
      </c>
      <c r="C19" t="s">
        <v>44</v>
      </c>
      <c r="D19" t="str">
        <v>Brush</v>
      </c>
      <c r="E19">
        <v>14</v>
      </c>
      <c r="F19" s="18">
        <v>13930</v>
      </c>
      <c r="G19" s="20">
        <f t="shared" si="0"/>
        <v>2.4251004336281523E-2</v>
      </c>
      <c r="H19" s="21">
        <f t="shared" si="1"/>
        <v>0.75347661562523727</v>
      </c>
    </row>
    <row r="20" spans="2:8" x14ac:dyDescent="0.3">
      <c r="B20">
        <v>16</v>
      </c>
      <c r="C20" t="s">
        <v>51</v>
      </c>
      <c r="D20" t="str">
        <v>Print</v>
      </c>
      <c r="E20">
        <v>14</v>
      </c>
      <c r="F20" s="18">
        <v>13650</v>
      </c>
      <c r="G20" s="20">
        <f t="shared" si="0"/>
        <v>2.3763546962687926E-2</v>
      </c>
      <c r="H20" s="21">
        <f t="shared" si="1"/>
        <v>0.77724016258792517</v>
      </c>
    </row>
    <row r="21" spans="2:8" x14ac:dyDescent="0.3">
      <c r="B21">
        <v>17</v>
      </c>
      <c r="C21" t="s">
        <v>66</v>
      </c>
      <c r="D21" t="str">
        <v>Print</v>
      </c>
      <c r="E21">
        <v>13</v>
      </c>
      <c r="F21" s="18">
        <v>10400</v>
      </c>
      <c r="G21" s="20">
        <f t="shared" si="0"/>
        <v>1.8105559590619373E-2</v>
      </c>
      <c r="H21" s="21">
        <f t="shared" si="1"/>
        <v>0.79534572217854449</v>
      </c>
    </row>
    <row r="22" spans="2:8" x14ac:dyDescent="0.3">
      <c r="B22">
        <v>18</v>
      </c>
      <c r="C22" t="s">
        <v>39</v>
      </c>
      <c r="D22" t="str">
        <v>Print</v>
      </c>
      <c r="E22">
        <v>10</v>
      </c>
      <c r="F22" s="18">
        <v>9500</v>
      </c>
      <c r="G22" s="20">
        <f t="shared" si="0"/>
        <v>1.6538732318354232E-2</v>
      </c>
      <c r="H22" s="21">
        <f t="shared" si="1"/>
        <v>0.81188445449689872</v>
      </c>
    </row>
    <row r="23" spans="2:8" x14ac:dyDescent="0.3">
      <c r="B23">
        <v>19</v>
      </c>
      <c r="C23" t="s">
        <v>81</v>
      </c>
      <c r="D23" t="str">
        <v>Brush</v>
      </c>
      <c r="E23">
        <v>14</v>
      </c>
      <c r="F23" s="18">
        <v>8750</v>
      </c>
      <c r="G23" s="20">
        <f t="shared" si="0"/>
        <v>1.5233042924799952E-2</v>
      </c>
      <c r="H23" s="21">
        <f t="shared" si="1"/>
        <v>0.82711749742169871</v>
      </c>
    </row>
    <row r="24" spans="2:8" x14ac:dyDescent="0.3">
      <c r="B24">
        <v>20</v>
      </c>
      <c r="C24" t="s">
        <v>27</v>
      </c>
      <c r="D24" t="str">
        <v>Print</v>
      </c>
      <c r="E24">
        <v>9</v>
      </c>
      <c r="F24" s="18">
        <v>8100</v>
      </c>
      <c r="G24" s="20">
        <f t="shared" si="0"/>
        <v>1.4101445450386241E-2</v>
      </c>
      <c r="H24" s="21">
        <f t="shared" si="1"/>
        <v>0.84121894287208498</v>
      </c>
    </row>
    <row r="25" spans="2:8" x14ac:dyDescent="0.3">
      <c r="B25">
        <v>21</v>
      </c>
      <c r="C25" t="s">
        <v>20</v>
      </c>
      <c r="D25" t="str">
        <v>Brush</v>
      </c>
      <c r="E25">
        <v>16</v>
      </c>
      <c r="F25" s="18">
        <v>7760</v>
      </c>
      <c r="G25" s="20">
        <f t="shared" si="0"/>
        <v>1.35095329253083E-2</v>
      </c>
      <c r="H25" s="21">
        <f t="shared" si="1"/>
        <v>0.85472847579739331</v>
      </c>
    </row>
    <row r="26" spans="2:8" x14ac:dyDescent="0.3">
      <c r="B26">
        <v>22</v>
      </c>
      <c r="C26" t="s">
        <v>37</v>
      </c>
      <c r="D26" t="str">
        <v>Print</v>
      </c>
      <c r="E26">
        <v>15</v>
      </c>
      <c r="F26" s="18">
        <v>6600</v>
      </c>
      <c r="G26" s="20">
        <f t="shared" si="0"/>
        <v>1.1490066663277678E-2</v>
      </c>
      <c r="H26" s="21">
        <f t="shared" si="1"/>
        <v>0.86621854246067098</v>
      </c>
    </row>
    <row r="27" spans="2:8" x14ac:dyDescent="0.3">
      <c r="B27">
        <v>23</v>
      </c>
      <c r="C27" t="s">
        <v>65</v>
      </c>
      <c r="D27" t="str">
        <v>Print</v>
      </c>
      <c r="E27">
        <v>3</v>
      </c>
      <c r="F27" s="18">
        <v>6300</v>
      </c>
      <c r="G27" s="20">
        <f t="shared" si="0"/>
        <v>1.0967790905855966E-2</v>
      </c>
      <c r="H27" s="21">
        <f t="shared" si="1"/>
        <v>0.87718633336652696</v>
      </c>
    </row>
    <row r="28" spans="2:8" x14ac:dyDescent="0.3">
      <c r="B28">
        <v>24</v>
      </c>
      <c r="C28" t="s">
        <v>64</v>
      </c>
      <c r="D28" t="str">
        <v>Print</v>
      </c>
      <c r="E28">
        <v>3</v>
      </c>
      <c r="F28" s="18">
        <v>6150</v>
      </c>
      <c r="G28" s="20">
        <f t="shared" si="0"/>
        <v>1.0706653027145109E-2</v>
      </c>
      <c r="H28" s="21">
        <f t="shared" si="1"/>
        <v>0.88789298639367209</v>
      </c>
    </row>
    <row r="29" spans="2:8" x14ac:dyDescent="0.3">
      <c r="B29">
        <v>25</v>
      </c>
      <c r="C29" t="s">
        <v>83</v>
      </c>
      <c r="D29" t="str">
        <v>Brush</v>
      </c>
      <c r="E29">
        <v>7</v>
      </c>
      <c r="F29" s="18">
        <v>5565</v>
      </c>
      <c r="G29" s="20">
        <f t="shared" si="0"/>
        <v>9.6882153001727703E-3</v>
      </c>
      <c r="H29" s="21">
        <f t="shared" si="1"/>
        <v>0.89758120169384481</v>
      </c>
    </row>
    <row r="30" spans="2:8" x14ac:dyDescent="0.3">
      <c r="B30">
        <v>26</v>
      </c>
      <c r="C30" t="s">
        <v>56</v>
      </c>
      <c r="D30" t="str">
        <v>Print</v>
      </c>
      <c r="E30">
        <v>10</v>
      </c>
      <c r="F30" s="18">
        <v>5300</v>
      </c>
      <c r="G30" s="20">
        <f t="shared" si="0"/>
        <v>9.226871714450257E-3</v>
      </c>
      <c r="H30" s="21">
        <f t="shared" si="1"/>
        <v>0.90680807340829506</v>
      </c>
    </row>
    <row r="31" spans="2:8" x14ac:dyDescent="0.3">
      <c r="B31">
        <v>27</v>
      </c>
      <c r="C31" t="s">
        <v>67</v>
      </c>
      <c r="D31" t="str">
        <v>Print</v>
      </c>
      <c r="E31">
        <v>8</v>
      </c>
      <c r="F31" s="18">
        <v>5000</v>
      </c>
      <c r="G31" s="20">
        <f t="shared" si="0"/>
        <v>8.704595957028544E-3</v>
      </c>
      <c r="H31" s="21">
        <f t="shared" si="1"/>
        <v>0.91551266936532361</v>
      </c>
    </row>
    <row r="32" spans="2:8" x14ac:dyDescent="0.3">
      <c r="B32">
        <v>28</v>
      </c>
      <c r="C32" t="s">
        <v>62</v>
      </c>
      <c r="D32" t="str">
        <v>Handwork</v>
      </c>
      <c r="E32">
        <v>5</v>
      </c>
      <c r="F32" s="18">
        <v>4475</v>
      </c>
      <c r="G32" s="20">
        <f t="shared" si="0"/>
        <v>7.7906133815405466E-3</v>
      </c>
      <c r="H32" s="21">
        <f t="shared" si="1"/>
        <v>0.92330328274686413</v>
      </c>
    </row>
    <row r="33" spans="2:8" x14ac:dyDescent="0.3">
      <c r="B33">
        <v>29</v>
      </c>
      <c r="C33" t="s">
        <v>58</v>
      </c>
      <c r="D33" t="str">
        <v>Handwork</v>
      </c>
      <c r="E33">
        <v>5</v>
      </c>
      <c r="F33" s="18">
        <v>4300</v>
      </c>
      <c r="G33" s="20">
        <f t="shared" si="0"/>
        <v>7.4859525230445484E-3</v>
      </c>
      <c r="H33" s="21">
        <f t="shared" si="1"/>
        <v>0.93078923526990864</v>
      </c>
    </row>
    <row r="34" spans="2:8" x14ac:dyDescent="0.3">
      <c r="B34">
        <v>30</v>
      </c>
      <c r="C34" t="s">
        <v>57</v>
      </c>
      <c r="D34" t="str">
        <v>Handwork</v>
      </c>
      <c r="E34">
        <v>5</v>
      </c>
      <c r="F34" s="18">
        <v>4300</v>
      </c>
      <c r="G34" s="20">
        <f t="shared" si="0"/>
        <v>7.4859525230445484E-3</v>
      </c>
      <c r="H34" s="21">
        <f t="shared" si="1"/>
        <v>0.93827518779295316</v>
      </c>
    </row>
    <row r="35" spans="2:8" x14ac:dyDescent="0.3">
      <c r="B35">
        <v>31</v>
      </c>
      <c r="C35" t="s">
        <v>59</v>
      </c>
      <c r="D35" t="str">
        <v>Handwork</v>
      </c>
      <c r="E35">
        <v>5</v>
      </c>
      <c r="F35" s="18">
        <v>4300</v>
      </c>
      <c r="G35" s="20">
        <f t="shared" si="0"/>
        <v>7.4859525230445484E-3</v>
      </c>
      <c r="H35" s="21">
        <f t="shared" si="1"/>
        <v>0.94576114031599767</v>
      </c>
    </row>
    <row r="36" spans="2:8" x14ac:dyDescent="0.3">
      <c r="B36">
        <v>32</v>
      </c>
      <c r="C36" t="s">
        <v>82</v>
      </c>
      <c r="D36" t="str">
        <v>Brush</v>
      </c>
      <c r="E36">
        <v>7</v>
      </c>
      <c r="F36" s="18">
        <v>3920</v>
      </c>
      <c r="G36" s="20">
        <f t="shared" si="0"/>
        <v>6.824403230310379E-3</v>
      </c>
      <c r="H36" s="21">
        <f t="shared" si="1"/>
        <v>0.95258554354630809</v>
      </c>
    </row>
    <row r="37" spans="2:8" x14ac:dyDescent="0.3">
      <c r="B37">
        <v>33</v>
      </c>
      <c r="C37" t="s">
        <v>26</v>
      </c>
      <c r="D37" t="str">
        <v>Print</v>
      </c>
      <c r="E37">
        <v>4</v>
      </c>
      <c r="F37" s="18">
        <v>3400</v>
      </c>
      <c r="G37" s="20">
        <f t="shared" si="0"/>
        <v>5.9191252507794102E-3</v>
      </c>
      <c r="H37" s="21">
        <f t="shared" si="1"/>
        <v>0.95850466879708751</v>
      </c>
    </row>
    <row r="38" spans="2:8" x14ac:dyDescent="0.3">
      <c r="B38">
        <v>34</v>
      </c>
      <c r="C38" t="s">
        <v>80</v>
      </c>
      <c r="D38" t="str">
        <v>Print</v>
      </c>
      <c r="E38">
        <v>5</v>
      </c>
      <c r="F38" s="18">
        <v>3301.25</v>
      </c>
      <c r="G38" s="20">
        <f t="shared" si="0"/>
        <v>5.747209480628096E-3</v>
      </c>
      <c r="H38" s="21">
        <f t="shared" si="1"/>
        <v>0.96425187827771563</v>
      </c>
    </row>
    <row r="39" spans="2:8" x14ac:dyDescent="0.3">
      <c r="B39">
        <v>35</v>
      </c>
      <c r="C39" t="s">
        <v>13</v>
      </c>
      <c r="D39" t="str">
        <v>Print</v>
      </c>
      <c r="E39">
        <v>7</v>
      </c>
      <c r="F39" s="18">
        <v>3092.25</v>
      </c>
      <c r="G39" s="20">
        <f t="shared" si="0"/>
        <v>5.3833573696243035E-3</v>
      </c>
      <c r="H39" s="21">
        <f t="shared" si="1"/>
        <v>0.96963523564733989</v>
      </c>
    </row>
    <row r="40" spans="2:8" x14ac:dyDescent="0.3">
      <c r="B40">
        <v>36</v>
      </c>
      <c r="C40" t="s">
        <v>79</v>
      </c>
      <c r="D40" t="str">
        <v>Brush</v>
      </c>
      <c r="E40">
        <v>5</v>
      </c>
      <c r="F40" s="18">
        <v>2826.25</v>
      </c>
      <c r="G40" s="20">
        <f t="shared" si="0"/>
        <v>4.9202728647103847E-3</v>
      </c>
      <c r="H40" s="21">
        <f t="shared" si="1"/>
        <v>0.97455550851205031</v>
      </c>
    </row>
    <row r="41" spans="2:8" x14ac:dyDescent="0.3">
      <c r="B41">
        <v>37</v>
      </c>
      <c r="C41" t="s">
        <v>23</v>
      </c>
      <c r="D41" t="str">
        <v>Handwork</v>
      </c>
      <c r="E41">
        <v>4</v>
      </c>
      <c r="F41" s="18">
        <v>2696.6</v>
      </c>
      <c r="G41" s="20">
        <f t="shared" si="0"/>
        <v>4.6945626915446343E-3</v>
      </c>
      <c r="H41" s="21">
        <f t="shared" si="1"/>
        <v>0.97925007120359497</v>
      </c>
    </row>
    <row r="42" spans="2:8" x14ac:dyDescent="0.3">
      <c r="B42">
        <v>38</v>
      </c>
      <c r="C42" t="s">
        <v>21</v>
      </c>
      <c r="D42" t="str">
        <v>Brush</v>
      </c>
      <c r="E42">
        <v>3</v>
      </c>
      <c r="F42" s="18">
        <v>2546.25</v>
      </c>
      <c r="G42" s="20">
        <f t="shared" si="0"/>
        <v>4.4328154911167858E-3</v>
      </c>
      <c r="H42" s="21">
        <f t="shared" si="1"/>
        <v>0.98368288669471171</v>
      </c>
    </row>
    <row r="43" spans="2:8" x14ac:dyDescent="0.3">
      <c r="B43">
        <v>39</v>
      </c>
      <c r="C43" t="s">
        <v>19</v>
      </c>
      <c r="D43" t="str">
        <v>Print</v>
      </c>
      <c r="E43">
        <v>6</v>
      </c>
      <c r="F43" s="18">
        <v>2473.5</v>
      </c>
      <c r="G43" s="20">
        <f t="shared" si="0"/>
        <v>4.3061636199420205E-3</v>
      </c>
      <c r="H43" s="21">
        <f t="shared" si="1"/>
        <v>0.98798905031465378</v>
      </c>
    </row>
    <row r="44" spans="2:8" x14ac:dyDescent="0.3">
      <c r="B44">
        <v>40</v>
      </c>
      <c r="C44" t="s">
        <v>60</v>
      </c>
      <c r="D44" t="str">
        <v>Handwork</v>
      </c>
      <c r="E44">
        <v>2</v>
      </c>
      <c r="F44" s="18">
        <v>1820</v>
      </c>
      <c r="G44" s="20">
        <f t="shared" si="0"/>
        <v>3.16847292835839E-3</v>
      </c>
      <c r="H44" s="21">
        <f t="shared" si="1"/>
        <v>0.99115752324301221</v>
      </c>
    </row>
    <row r="45" spans="2:8" x14ac:dyDescent="0.3">
      <c r="B45">
        <v>41</v>
      </c>
      <c r="C45" t="s">
        <v>61</v>
      </c>
      <c r="D45" t="str">
        <v>Handwork</v>
      </c>
      <c r="E45">
        <v>2</v>
      </c>
      <c r="F45" s="18">
        <v>1820</v>
      </c>
      <c r="G45" s="20">
        <f t="shared" si="0"/>
        <v>3.16847292835839E-3</v>
      </c>
      <c r="H45" s="21">
        <f t="shared" si="1"/>
        <v>0.99432599617137063</v>
      </c>
    </row>
    <row r="46" spans="2:8" x14ac:dyDescent="0.3">
      <c r="B46">
        <v>42</v>
      </c>
      <c r="C46" t="s">
        <v>33</v>
      </c>
      <c r="D46" t="str">
        <v>Print</v>
      </c>
      <c r="E46">
        <v>4</v>
      </c>
      <c r="F46" s="18">
        <v>1707.2</v>
      </c>
      <c r="G46" s="20">
        <f t="shared" si="0"/>
        <v>2.972097243567826E-3</v>
      </c>
      <c r="H46" s="21">
        <f t="shared" si="1"/>
        <v>0.99729809341493847</v>
      </c>
    </row>
    <row r="47" spans="2:8" x14ac:dyDescent="0.3">
      <c r="B47">
        <v>43</v>
      </c>
      <c r="C47" t="s">
        <v>18</v>
      </c>
      <c r="D47" t="str">
        <v>Print</v>
      </c>
      <c r="E47">
        <v>4</v>
      </c>
      <c r="F47" s="18">
        <v>1552</v>
      </c>
      <c r="G47" s="20">
        <f t="shared" si="0"/>
        <v>2.7019065850616602E-3</v>
      </c>
      <c r="H47" s="21">
        <f t="shared" si="1"/>
        <v>1.0000000000000002</v>
      </c>
    </row>
    <row r="48" spans="2:8" x14ac:dyDescent="0.3">
      <c r="E48" t="s">
        <v>107</v>
      </c>
      <c r="F48" s="19">
        <f>SUM(F5:F47)</f>
        <v>574409.19999999995</v>
      </c>
    </row>
    <row r="55" spans="3:6" x14ac:dyDescent="0.3">
      <c r="C55" s="7" t="s">
        <v>85</v>
      </c>
      <c r="D55" t="s">
        <v>104</v>
      </c>
      <c r="E55" t="s">
        <v>95</v>
      </c>
      <c r="F55" t="s">
        <v>96</v>
      </c>
    </row>
    <row r="56" spans="3:6" x14ac:dyDescent="0.3">
      <c r="C56" s="8" t="s">
        <v>79</v>
      </c>
      <c r="D56">
        <v>1</v>
      </c>
      <c r="E56">
        <v>5</v>
      </c>
      <c r="F56">
        <v>2826.25</v>
      </c>
    </row>
    <row r="57" spans="3:6" x14ac:dyDescent="0.3">
      <c r="C57" s="8" t="s">
        <v>82</v>
      </c>
      <c r="D57">
        <v>1</v>
      </c>
      <c r="E57">
        <v>7</v>
      </c>
      <c r="F57">
        <v>3920</v>
      </c>
    </row>
    <row r="58" spans="3:6" x14ac:dyDescent="0.3">
      <c r="C58" s="8" t="s">
        <v>81</v>
      </c>
      <c r="D58">
        <v>1</v>
      </c>
      <c r="E58">
        <v>14</v>
      </c>
      <c r="F58">
        <v>8750</v>
      </c>
    </row>
    <row r="59" spans="3:6" x14ac:dyDescent="0.3">
      <c r="C59" s="8" t="s">
        <v>83</v>
      </c>
      <c r="D59">
        <v>1</v>
      </c>
      <c r="E59">
        <v>7</v>
      </c>
      <c r="F59">
        <v>5565</v>
      </c>
    </row>
    <row r="60" spans="3:6" x14ac:dyDescent="0.3">
      <c r="C60" s="8" t="s">
        <v>20</v>
      </c>
      <c r="D60">
        <v>2</v>
      </c>
      <c r="E60">
        <v>16</v>
      </c>
      <c r="F60">
        <v>7760</v>
      </c>
    </row>
    <row r="61" spans="3:6" x14ac:dyDescent="0.3">
      <c r="C61" s="8" t="s">
        <v>44</v>
      </c>
      <c r="D61">
        <v>1</v>
      </c>
      <c r="E61">
        <v>14</v>
      </c>
      <c r="F61">
        <v>13930</v>
      </c>
    </row>
    <row r="62" spans="3:6" x14ac:dyDescent="0.3">
      <c r="C62" s="8" t="s">
        <v>22</v>
      </c>
      <c r="D62">
        <v>3</v>
      </c>
      <c r="E62">
        <v>22</v>
      </c>
      <c r="F62">
        <v>18660</v>
      </c>
    </row>
    <row r="63" spans="3:6" x14ac:dyDescent="0.3">
      <c r="C63" s="8" t="s">
        <v>21</v>
      </c>
      <c r="D63">
        <v>1</v>
      </c>
      <c r="E63">
        <v>3</v>
      </c>
      <c r="F63">
        <v>2546.25</v>
      </c>
    </row>
    <row r="64" spans="3:6" x14ac:dyDescent="0.3">
      <c r="C64" s="8" t="s">
        <v>23</v>
      </c>
      <c r="D64">
        <v>1</v>
      </c>
      <c r="E64">
        <v>4</v>
      </c>
      <c r="F64">
        <v>2696.6</v>
      </c>
    </row>
    <row r="65" spans="3:6" x14ac:dyDescent="0.3">
      <c r="C65" s="8" t="s">
        <v>62</v>
      </c>
      <c r="D65">
        <v>1</v>
      </c>
      <c r="E65">
        <v>5</v>
      </c>
      <c r="F65">
        <v>4475</v>
      </c>
    </row>
    <row r="66" spans="3:6" x14ac:dyDescent="0.3">
      <c r="C66" s="8" t="s">
        <v>58</v>
      </c>
      <c r="D66">
        <v>1</v>
      </c>
      <c r="E66">
        <v>5</v>
      </c>
      <c r="F66">
        <v>4300</v>
      </c>
    </row>
    <row r="67" spans="3:6" x14ac:dyDescent="0.3">
      <c r="C67" s="8" t="s">
        <v>60</v>
      </c>
      <c r="D67">
        <v>1</v>
      </c>
      <c r="E67">
        <v>2</v>
      </c>
      <c r="F67">
        <v>1820</v>
      </c>
    </row>
    <row r="68" spans="3:6" x14ac:dyDescent="0.3">
      <c r="C68" s="8" t="s">
        <v>57</v>
      </c>
      <c r="D68">
        <v>1</v>
      </c>
      <c r="E68">
        <v>5</v>
      </c>
      <c r="F68">
        <v>4300</v>
      </c>
    </row>
    <row r="69" spans="3:6" x14ac:dyDescent="0.3">
      <c r="C69" s="8" t="s">
        <v>59</v>
      </c>
      <c r="D69">
        <v>1</v>
      </c>
      <c r="E69">
        <v>5</v>
      </c>
      <c r="F69">
        <v>4300</v>
      </c>
    </row>
    <row r="70" spans="3:6" x14ac:dyDescent="0.3">
      <c r="C70" s="8" t="s">
        <v>61</v>
      </c>
      <c r="D70">
        <v>1</v>
      </c>
      <c r="E70">
        <v>2</v>
      </c>
      <c r="F70">
        <v>1820</v>
      </c>
    </row>
    <row r="71" spans="3:6" x14ac:dyDescent="0.3">
      <c r="C71" s="8" t="s">
        <v>42</v>
      </c>
      <c r="D71">
        <v>1</v>
      </c>
      <c r="E71">
        <v>65</v>
      </c>
      <c r="F71">
        <v>25675</v>
      </c>
    </row>
    <row r="72" spans="3:6" x14ac:dyDescent="0.3">
      <c r="C72" s="8" t="s">
        <v>43</v>
      </c>
      <c r="D72">
        <v>1</v>
      </c>
      <c r="E72">
        <v>51</v>
      </c>
      <c r="F72">
        <v>21675</v>
      </c>
    </row>
    <row r="73" spans="3:6" x14ac:dyDescent="0.3">
      <c r="C73" s="8" t="s">
        <v>84</v>
      </c>
      <c r="D73">
        <v>3</v>
      </c>
      <c r="E73">
        <v>55</v>
      </c>
      <c r="F73">
        <v>22748.9</v>
      </c>
    </row>
    <row r="74" spans="3:6" x14ac:dyDescent="0.3">
      <c r="C74" s="8" t="s">
        <v>36</v>
      </c>
      <c r="D74">
        <v>1</v>
      </c>
      <c r="E74">
        <v>115</v>
      </c>
      <c r="F74">
        <v>47725</v>
      </c>
    </row>
    <row r="75" spans="3:6" x14ac:dyDescent="0.3">
      <c r="C75" s="8" t="s">
        <v>38</v>
      </c>
      <c r="D75">
        <v>1</v>
      </c>
      <c r="E75">
        <v>34</v>
      </c>
      <c r="F75">
        <v>24650</v>
      </c>
    </row>
    <row r="76" spans="3:6" x14ac:dyDescent="0.3">
      <c r="C76" s="8" t="s">
        <v>39</v>
      </c>
      <c r="D76">
        <v>1</v>
      </c>
      <c r="E76">
        <v>10</v>
      </c>
      <c r="F76">
        <v>9500</v>
      </c>
    </row>
    <row r="77" spans="3:6" x14ac:dyDescent="0.3">
      <c r="C77" s="8" t="s">
        <v>19</v>
      </c>
      <c r="D77">
        <v>1</v>
      </c>
      <c r="E77">
        <v>6</v>
      </c>
      <c r="F77">
        <v>2473.5</v>
      </c>
    </row>
    <row r="78" spans="3:6" x14ac:dyDescent="0.3">
      <c r="C78" s="8" t="s">
        <v>18</v>
      </c>
      <c r="D78">
        <v>1</v>
      </c>
      <c r="E78">
        <v>4</v>
      </c>
      <c r="F78">
        <v>1552</v>
      </c>
    </row>
    <row r="79" spans="3:6" x14ac:dyDescent="0.3">
      <c r="C79" s="8" t="s">
        <v>13</v>
      </c>
      <c r="D79">
        <v>1</v>
      </c>
      <c r="E79">
        <v>7</v>
      </c>
      <c r="F79">
        <v>3092.25</v>
      </c>
    </row>
    <row r="80" spans="3:6" x14ac:dyDescent="0.3">
      <c r="C80" s="8" t="s">
        <v>37</v>
      </c>
      <c r="D80">
        <v>1</v>
      </c>
      <c r="E80">
        <v>15</v>
      </c>
      <c r="F80">
        <v>6600</v>
      </c>
    </row>
    <row r="81" spans="3:6" x14ac:dyDescent="0.3">
      <c r="C81" s="8" t="s">
        <v>33</v>
      </c>
      <c r="D81">
        <v>1</v>
      </c>
      <c r="E81">
        <v>4</v>
      </c>
      <c r="F81">
        <v>1707.2</v>
      </c>
    </row>
    <row r="82" spans="3:6" x14ac:dyDescent="0.3">
      <c r="C82" s="8" t="s">
        <v>40</v>
      </c>
      <c r="D82">
        <v>1</v>
      </c>
      <c r="E82">
        <v>13</v>
      </c>
      <c r="F82">
        <v>20150</v>
      </c>
    </row>
    <row r="83" spans="3:6" x14ac:dyDescent="0.3">
      <c r="C83" s="8" t="s">
        <v>80</v>
      </c>
      <c r="D83">
        <v>1</v>
      </c>
      <c r="E83">
        <v>5</v>
      </c>
      <c r="F83">
        <v>3301.25</v>
      </c>
    </row>
    <row r="84" spans="3:6" x14ac:dyDescent="0.3">
      <c r="C84" s="8" t="s">
        <v>56</v>
      </c>
      <c r="D84">
        <v>1</v>
      </c>
      <c r="E84">
        <v>10</v>
      </c>
      <c r="F84">
        <v>5300</v>
      </c>
    </row>
    <row r="85" spans="3:6" x14ac:dyDescent="0.3">
      <c r="C85" s="8" t="s">
        <v>55</v>
      </c>
      <c r="D85">
        <v>1</v>
      </c>
      <c r="E85">
        <v>32</v>
      </c>
      <c r="F85">
        <v>15200</v>
      </c>
    </row>
    <row r="86" spans="3:6" x14ac:dyDescent="0.3">
      <c r="C86" s="8" t="s">
        <v>47</v>
      </c>
      <c r="D86">
        <v>3</v>
      </c>
      <c r="E86">
        <v>18</v>
      </c>
      <c r="F86">
        <v>29610</v>
      </c>
    </row>
    <row r="87" spans="3:6" x14ac:dyDescent="0.3">
      <c r="C87" s="8" t="s">
        <v>78</v>
      </c>
      <c r="D87">
        <v>4</v>
      </c>
      <c r="E87">
        <v>43</v>
      </c>
      <c r="F87">
        <v>84150</v>
      </c>
    </row>
    <row r="88" spans="3:6" x14ac:dyDescent="0.3">
      <c r="C88" s="8" t="s">
        <v>77</v>
      </c>
      <c r="D88">
        <v>1</v>
      </c>
      <c r="E88">
        <v>36</v>
      </c>
      <c r="F88">
        <v>19980</v>
      </c>
    </row>
    <row r="89" spans="3:6" x14ac:dyDescent="0.3">
      <c r="C89" s="8" t="s">
        <v>64</v>
      </c>
      <c r="D89">
        <v>1</v>
      </c>
      <c r="E89">
        <v>3</v>
      </c>
      <c r="F89">
        <v>6150</v>
      </c>
    </row>
    <row r="90" spans="3:6" x14ac:dyDescent="0.3">
      <c r="C90" s="8" t="s">
        <v>65</v>
      </c>
      <c r="D90">
        <v>1</v>
      </c>
      <c r="E90">
        <v>3</v>
      </c>
      <c r="F90">
        <v>6300</v>
      </c>
    </row>
    <row r="91" spans="3:6" x14ac:dyDescent="0.3">
      <c r="C91" s="8" t="s">
        <v>66</v>
      </c>
      <c r="D91">
        <v>1</v>
      </c>
      <c r="E91">
        <v>13</v>
      </c>
      <c r="F91">
        <v>10400</v>
      </c>
    </row>
    <row r="92" spans="3:6" x14ac:dyDescent="0.3">
      <c r="C92" s="8" t="s">
        <v>29</v>
      </c>
      <c r="D92">
        <v>1</v>
      </c>
      <c r="E92">
        <v>20</v>
      </c>
      <c r="F92">
        <v>32000</v>
      </c>
    </row>
    <row r="93" spans="3:6" x14ac:dyDescent="0.3">
      <c r="C93" s="8" t="s">
        <v>26</v>
      </c>
      <c r="D93">
        <v>1</v>
      </c>
      <c r="E93">
        <v>4</v>
      </c>
      <c r="F93">
        <v>3400</v>
      </c>
    </row>
    <row r="94" spans="3:6" x14ac:dyDescent="0.3">
      <c r="C94" s="8" t="s">
        <v>27</v>
      </c>
      <c r="D94">
        <v>1</v>
      </c>
      <c r="E94">
        <v>9</v>
      </c>
      <c r="F94">
        <v>8100</v>
      </c>
    </row>
    <row r="95" spans="3:6" x14ac:dyDescent="0.3">
      <c r="C95" s="8" t="s">
        <v>28</v>
      </c>
      <c r="D95">
        <v>2</v>
      </c>
      <c r="E95">
        <v>45</v>
      </c>
      <c r="F95">
        <v>40500</v>
      </c>
    </row>
    <row r="96" spans="3:6" x14ac:dyDescent="0.3">
      <c r="C96" s="8" t="s">
        <v>67</v>
      </c>
      <c r="D96">
        <v>1</v>
      </c>
      <c r="E96">
        <v>8</v>
      </c>
      <c r="F96">
        <v>5000</v>
      </c>
    </row>
    <row r="97" spans="3:7" x14ac:dyDescent="0.3">
      <c r="C97" s="8" t="s">
        <v>53</v>
      </c>
      <c r="D97">
        <v>1</v>
      </c>
      <c r="E97">
        <v>17</v>
      </c>
      <c r="F97">
        <v>16150</v>
      </c>
    </row>
    <row r="98" spans="3:7" x14ac:dyDescent="0.3">
      <c r="C98" s="8" t="s">
        <v>51</v>
      </c>
      <c r="D98">
        <v>1</v>
      </c>
      <c r="E98">
        <v>14</v>
      </c>
      <c r="F98">
        <v>13650</v>
      </c>
    </row>
    <row r="99" spans="3:7" x14ac:dyDescent="0.3">
      <c r="C99" s="8" t="s">
        <v>16</v>
      </c>
      <c r="D99">
        <v>54</v>
      </c>
      <c r="E99">
        <v>775</v>
      </c>
      <c r="F99">
        <v>574409.19999999995</v>
      </c>
    </row>
    <row r="102" spans="3:7" x14ac:dyDescent="0.3">
      <c r="C102" s="17" t="s">
        <v>105</v>
      </c>
      <c r="D102" s="17" t="s">
        <v>94</v>
      </c>
      <c r="E102" s="17" t="s">
        <v>106</v>
      </c>
      <c r="F102" s="17" t="s">
        <v>100</v>
      </c>
      <c r="G102" s="17" t="s">
        <v>102</v>
      </c>
    </row>
    <row r="103" spans="3:7" x14ac:dyDescent="0.3">
      <c r="C103" t="s">
        <v>78</v>
      </c>
      <c r="D103" t="str" cm="1">
        <f t="array" ref="D103:D145">VLOOKUP(C103:C145,Sales!F4:G58,2,TRUE)</f>
        <v>Others</v>
      </c>
      <c r="E103">
        <v>43</v>
      </c>
      <c r="F103" s="18">
        <v>84150</v>
      </c>
      <c r="G103" s="16">
        <f>F103/$F$146</f>
        <v>0.1464983499567904</v>
      </c>
    </row>
    <row r="104" spans="3:7" x14ac:dyDescent="0.3">
      <c r="C104" t="s">
        <v>36</v>
      </c>
      <c r="D104" t="str">
        <v>Print</v>
      </c>
      <c r="E104">
        <v>115</v>
      </c>
      <c r="F104" s="18">
        <v>47725</v>
      </c>
      <c r="G104" s="16">
        <f t="shared" ref="G104:G145" si="2">F104/$F$146</f>
        <v>8.3085368409837448E-2</v>
      </c>
    </row>
    <row r="105" spans="3:7" x14ac:dyDescent="0.3">
      <c r="C105" t="s">
        <v>28</v>
      </c>
      <c r="D105" t="str">
        <v>Print</v>
      </c>
      <c r="E105">
        <v>45</v>
      </c>
      <c r="F105" s="18">
        <v>40500</v>
      </c>
      <c r="G105" s="16">
        <f t="shared" si="2"/>
        <v>7.0507227251931204E-2</v>
      </c>
    </row>
    <row r="106" spans="3:7" x14ac:dyDescent="0.3">
      <c r="C106" t="s">
        <v>29</v>
      </c>
      <c r="D106" t="str">
        <v>Print</v>
      </c>
      <c r="E106">
        <v>20</v>
      </c>
      <c r="F106" s="18">
        <v>32000</v>
      </c>
      <c r="G106" s="16">
        <f t="shared" si="2"/>
        <v>5.5709414124982683E-2</v>
      </c>
    </row>
    <row r="107" spans="3:7" x14ac:dyDescent="0.3">
      <c r="C107" t="s">
        <v>47</v>
      </c>
      <c r="D107" t="str">
        <v>Print</v>
      </c>
      <c r="E107">
        <v>18</v>
      </c>
      <c r="F107" s="18">
        <v>29610</v>
      </c>
      <c r="G107" s="16">
        <f t="shared" si="2"/>
        <v>5.1548617257523036E-2</v>
      </c>
    </row>
    <row r="108" spans="3:7" x14ac:dyDescent="0.3">
      <c r="C108" t="s">
        <v>42</v>
      </c>
      <c r="D108" t="str">
        <v>Handwork</v>
      </c>
      <c r="E108">
        <v>65</v>
      </c>
      <c r="F108" s="18">
        <v>25675</v>
      </c>
      <c r="G108" s="16">
        <f t="shared" si="2"/>
        <v>4.4698100239341572E-2</v>
      </c>
    </row>
    <row r="109" spans="3:7" x14ac:dyDescent="0.3">
      <c r="C109" t="s">
        <v>38</v>
      </c>
      <c r="D109" t="str">
        <v>Print</v>
      </c>
      <c r="E109">
        <v>34</v>
      </c>
      <c r="F109" s="18">
        <v>24650</v>
      </c>
      <c r="G109" s="16">
        <f t="shared" si="2"/>
        <v>4.2913658068150722E-2</v>
      </c>
    </row>
    <row r="110" spans="3:7" x14ac:dyDescent="0.3">
      <c r="C110" t="s">
        <v>84</v>
      </c>
      <c r="D110" t="str">
        <v>Print</v>
      </c>
      <c r="E110">
        <v>55</v>
      </c>
      <c r="F110" s="18">
        <v>22748.9</v>
      </c>
      <c r="G110" s="16">
        <f t="shared" si="2"/>
        <v>3.9603996593369335E-2</v>
      </c>
    </row>
    <row r="111" spans="3:7" x14ac:dyDescent="0.3">
      <c r="C111" t="s">
        <v>43</v>
      </c>
      <c r="D111" t="str">
        <v>Print</v>
      </c>
      <c r="E111">
        <v>51</v>
      </c>
      <c r="F111" s="18">
        <v>21675</v>
      </c>
      <c r="G111" s="16">
        <f t="shared" si="2"/>
        <v>3.7734423473718741E-2</v>
      </c>
    </row>
    <row r="112" spans="3:7" x14ac:dyDescent="0.3">
      <c r="C112" t="s">
        <v>40</v>
      </c>
      <c r="D112" t="str">
        <v>Print</v>
      </c>
      <c r="E112">
        <v>13</v>
      </c>
      <c r="F112" s="18">
        <v>20150</v>
      </c>
      <c r="G112" s="16">
        <f t="shared" si="2"/>
        <v>3.5079521706825031E-2</v>
      </c>
    </row>
    <row r="113" spans="3:7" x14ac:dyDescent="0.3">
      <c r="C113" t="s">
        <v>77</v>
      </c>
      <c r="D113" t="str">
        <v>Handwork</v>
      </c>
      <c r="E113">
        <v>36</v>
      </c>
      <c r="F113" s="18">
        <v>19980</v>
      </c>
      <c r="G113" s="16">
        <f t="shared" si="2"/>
        <v>3.4783565444286062E-2</v>
      </c>
    </row>
    <row r="114" spans="3:7" x14ac:dyDescent="0.3">
      <c r="C114" t="s">
        <v>22</v>
      </c>
      <c r="D114" t="str">
        <v>Brush</v>
      </c>
      <c r="E114">
        <v>22</v>
      </c>
      <c r="F114" s="18">
        <v>18660</v>
      </c>
      <c r="G114" s="16">
        <f t="shared" si="2"/>
        <v>3.2485552111630525E-2</v>
      </c>
    </row>
    <row r="115" spans="3:7" x14ac:dyDescent="0.3">
      <c r="C115" t="s">
        <v>53</v>
      </c>
      <c r="D115" t="str">
        <v>Print</v>
      </c>
      <c r="E115">
        <v>17</v>
      </c>
      <c r="F115" s="18">
        <v>16150</v>
      </c>
      <c r="G115" s="16">
        <f t="shared" si="2"/>
        <v>2.8115844941202197E-2</v>
      </c>
    </row>
    <row r="116" spans="3:7" x14ac:dyDescent="0.3">
      <c r="C116" t="s">
        <v>55</v>
      </c>
      <c r="D116" t="str">
        <v>Print</v>
      </c>
      <c r="E116">
        <v>32</v>
      </c>
      <c r="F116" s="18">
        <v>15200</v>
      </c>
      <c r="G116" s="16">
        <f t="shared" si="2"/>
        <v>2.6461971709366774E-2</v>
      </c>
    </row>
    <row r="117" spans="3:7" x14ac:dyDescent="0.3">
      <c r="C117" t="s">
        <v>44</v>
      </c>
      <c r="D117" t="str">
        <v>Brush</v>
      </c>
      <c r="E117">
        <v>14</v>
      </c>
      <c r="F117" s="18">
        <v>13930</v>
      </c>
      <c r="G117" s="16">
        <f t="shared" si="2"/>
        <v>2.4251004336281523E-2</v>
      </c>
    </row>
    <row r="118" spans="3:7" x14ac:dyDescent="0.3">
      <c r="C118" t="s">
        <v>51</v>
      </c>
      <c r="D118" t="str">
        <v>Print</v>
      </c>
      <c r="E118">
        <v>14</v>
      </c>
      <c r="F118" s="18">
        <v>13650</v>
      </c>
      <c r="G118" s="16">
        <f t="shared" si="2"/>
        <v>2.3763546962687926E-2</v>
      </c>
    </row>
    <row r="119" spans="3:7" x14ac:dyDescent="0.3">
      <c r="C119" t="s">
        <v>66</v>
      </c>
      <c r="D119" t="str">
        <v>Print</v>
      </c>
      <c r="E119">
        <v>13</v>
      </c>
      <c r="F119" s="18">
        <v>10400</v>
      </c>
      <c r="G119" s="16">
        <f t="shared" si="2"/>
        <v>1.8105559590619373E-2</v>
      </c>
    </row>
    <row r="120" spans="3:7" x14ac:dyDescent="0.3">
      <c r="C120" t="s">
        <v>39</v>
      </c>
      <c r="D120" t="str">
        <v>Print</v>
      </c>
      <c r="E120">
        <v>10</v>
      </c>
      <c r="F120" s="18">
        <v>9500</v>
      </c>
      <c r="G120" s="16">
        <f t="shared" si="2"/>
        <v>1.6538732318354232E-2</v>
      </c>
    </row>
    <row r="121" spans="3:7" x14ac:dyDescent="0.3">
      <c r="C121" t="s">
        <v>81</v>
      </c>
      <c r="D121" t="str">
        <v>Brush</v>
      </c>
      <c r="E121">
        <v>14</v>
      </c>
      <c r="F121" s="18">
        <v>8750</v>
      </c>
      <c r="G121" s="16">
        <f t="shared" si="2"/>
        <v>1.5233042924799952E-2</v>
      </c>
    </row>
    <row r="122" spans="3:7" x14ac:dyDescent="0.3">
      <c r="C122" t="s">
        <v>27</v>
      </c>
      <c r="D122" t="str">
        <v>Print</v>
      </c>
      <c r="E122">
        <v>9</v>
      </c>
      <c r="F122" s="18">
        <v>8100</v>
      </c>
      <c r="G122" s="16">
        <f t="shared" si="2"/>
        <v>1.4101445450386241E-2</v>
      </c>
    </row>
    <row r="123" spans="3:7" x14ac:dyDescent="0.3">
      <c r="C123" t="s">
        <v>20</v>
      </c>
      <c r="D123" t="str">
        <v>Brush</v>
      </c>
      <c r="E123">
        <v>16</v>
      </c>
      <c r="F123" s="18">
        <v>7760</v>
      </c>
      <c r="G123" s="16">
        <f t="shared" si="2"/>
        <v>1.35095329253083E-2</v>
      </c>
    </row>
    <row r="124" spans="3:7" x14ac:dyDescent="0.3">
      <c r="C124" t="s">
        <v>37</v>
      </c>
      <c r="D124" t="str">
        <v>Print</v>
      </c>
      <c r="E124">
        <v>15</v>
      </c>
      <c r="F124" s="18">
        <v>6600</v>
      </c>
      <c r="G124" s="16">
        <f t="shared" si="2"/>
        <v>1.1490066663277678E-2</v>
      </c>
    </row>
    <row r="125" spans="3:7" x14ac:dyDescent="0.3">
      <c r="C125" t="s">
        <v>65</v>
      </c>
      <c r="D125" t="str">
        <v>Print</v>
      </c>
      <c r="E125">
        <v>3</v>
      </c>
      <c r="F125" s="18">
        <v>6300</v>
      </c>
      <c r="G125" s="16">
        <f t="shared" si="2"/>
        <v>1.0967790905855966E-2</v>
      </c>
    </row>
    <row r="126" spans="3:7" x14ac:dyDescent="0.3">
      <c r="C126" t="s">
        <v>64</v>
      </c>
      <c r="D126" t="str">
        <v>Print</v>
      </c>
      <c r="E126">
        <v>3</v>
      </c>
      <c r="F126" s="18">
        <v>6150</v>
      </c>
      <c r="G126" s="16">
        <f t="shared" si="2"/>
        <v>1.0706653027145109E-2</v>
      </c>
    </row>
    <row r="127" spans="3:7" x14ac:dyDescent="0.3">
      <c r="C127" t="s">
        <v>83</v>
      </c>
      <c r="D127" t="str">
        <v>Brush</v>
      </c>
      <c r="E127">
        <v>7</v>
      </c>
      <c r="F127" s="18">
        <v>5565</v>
      </c>
      <c r="G127" s="16">
        <f t="shared" si="2"/>
        <v>9.6882153001727703E-3</v>
      </c>
    </row>
    <row r="128" spans="3:7" x14ac:dyDescent="0.3">
      <c r="C128" t="s">
        <v>56</v>
      </c>
      <c r="D128" t="str">
        <v>Print</v>
      </c>
      <c r="E128">
        <v>10</v>
      </c>
      <c r="F128" s="18">
        <v>5300</v>
      </c>
      <c r="G128" s="16">
        <f t="shared" si="2"/>
        <v>9.226871714450257E-3</v>
      </c>
    </row>
    <row r="129" spans="3:7" x14ac:dyDescent="0.3">
      <c r="C129" t="s">
        <v>67</v>
      </c>
      <c r="D129" t="str">
        <v>Print</v>
      </c>
      <c r="E129">
        <v>8</v>
      </c>
      <c r="F129" s="18">
        <v>5000</v>
      </c>
      <c r="G129" s="16">
        <f t="shared" si="2"/>
        <v>8.704595957028544E-3</v>
      </c>
    </row>
    <row r="130" spans="3:7" x14ac:dyDescent="0.3">
      <c r="C130" t="s">
        <v>62</v>
      </c>
      <c r="D130" t="str">
        <v>Handwork</v>
      </c>
      <c r="E130">
        <v>5</v>
      </c>
      <c r="F130" s="18">
        <v>4475</v>
      </c>
      <c r="G130" s="16">
        <f t="shared" si="2"/>
        <v>7.7906133815405466E-3</v>
      </c>
    </row>
    <row r="131" spans="3:7" x14ac:dyDescent="0.3">
      <c r="C131" t="s">
        <v>58</v>
      </c>
      <c r="D131" t="str">
        <v>Handwork</v>
      </c>
      <c r="E131">
        <v>5</v>
      </c>
      <c r="F131" s="18">
        <v>4300</v>
      </c>
      <c r="G131" s="16">
        <f t="shared" si="2"/>
        <v>7.4859525230445484E-3</v>
      </c>
    </row>
    <row r="132" spans="3:7" x14ac:dyDescent="0.3">
      <c r="C132" t="s">
        <v>57</v>
      </c>
      <c r="D132" t="str">
        <v>Handwork</v>
      </c>
      <c r="E132">
        <v>5</v>
      </c>
      <c r="F132" s="18">
        <v>4300</v>
      </c>
      <c r="G132" s="16">
        <f t="shared" si="2"/>
        <v>7.4859525230445484E-3</v>
      </c>
    </row>
    <row r="133" spans="3:7" x14ac:dyDescent="0.3">
      <c r="C133" t="s">
        <v>59</v>
      </c>
      <c r="D133" t="str">
        <v>Handwork</v>
      </c>
      <c r="E133">
        <v>5</v>
      </c>
      <c r="F133" s="18">
        <v>4300</v>
      </c>
      <c r="G133" s="16">
        <f t="shared" si="2"/>
        <v>7.4859525230445484E-3</v>
      </c>
    </row>
    <row r="134" spans="3:7" x14ac:dyDescent="0.3">
      <c r="C134" t="s">
        <v>82</v>
      </c>
      <c r="D134" t="str">
        <v>Brush</v>
      </c>
      <c r="E134">
        <v>7</v>
      </c>
      <c r="F134" s="18">
        <v>3920</v>
      </c>
      <c r="G134" s="16">
        <f t="shared" si="2"/>
        <v>6.824403230310379E-3</v>
      </c>
    </row>
    <row r="135" spans="3:7" x14ac:dyDescent="0.3">
      <c r="C135" t="s">
        <v>26</v>
      </c>
      <c r="D135" t="str">
        <v>Print</v>
      </c>
      <c r="E135">
        <v>4</v>
      </c>
      <c r="F135" s="18">
        <v>3400</v>
      </c>
      <c r="G135" s="16">
        <f t="shared" si="2"/>
        <v>5.9191252507794102E-3</v>
      </c>
    </row>
    <row r="136" spans="3:7" x14ac:dyDescent="0.3">
      <c r="C136" t="s">
        <v>80</v>
      </c>
      <c r="D136" t="str">
        <v>Print</v>
      </c>
      <c r="E136">
        <v>5</v>
      </c>
      <c r="F136" s="18">
        <v>3301.25</v>
      </c>
      <c r="G136" s="16">
        <f t="shared" si="2"/>
        <v>5.747209480628096E-3</v>
      </c>
    </row>
    <row r="137" spans="3:7" x14ac:dyDescent="0.3">
      <c r="C137" t="s">
        <v>13</v>
      </c>
      <c r="D137" t="str">
        <v>Print</v>
      </c>
      <c r="E137">
        <v>7</v>
      </c>
      <c r="F137" s="18">
        <v>3092.25</v>
      </c>
      <c r="G137" s="16">
        <f t="shared" si="2"/>
        <v>5.3833573696243035E-3</v>
      </c>
    </row>
    <row r="138" spans="3:7" x14ac:dyDescent="0.3">
      <c r="C138" t="s">
        <v>79</v>
      </c>
      <c r="D138" t="str">
        <v>Brush</v>
      </c>
      <c r="E138">
        <v>5</v>
      </c>
      <c r="F138" s="18">
        <v>2826.25</v>
      </c>
      <c r="G138" s="16">
        <f t="shared" si="2"/>
        <v>4.9202728647103847E-3</v>
      </c>
    </row>
    <row r="139" spans="3:7" x14ac:dyDescent="0.3">
      <c r="C139" t="s">
        <v>23</v>
      </c>
      <c r="D139" t="str">
        <v>Handwork</v>
      </c>
      <c r="E139">
        <v>4</v>
      </c>
      <c r="F139" s="18">
        <v>2696.6</v>
      </c>
      <c r="G139" s="16">
        <f t="shared" si="2"/>
        <v>4.6945626915446343E-3</v>
      </c>
    </row>
    <row r="140" spans="3:7" x14ac:dyDescent="0.3">
      <c r="C140" t="s">
        <v>21</v>
      </c>
      <c r="D140" t="str">
        <v>Brush</v>
      </c>
      <c r="E140">
        <v>3</v>
      </c>
      <c r="F140" s="18">
        <v>2546.25</v>
      </c>
      <c r="G140" s="16">
        <f t="shared" si="2"/>
        <v>4.4328154911167858E-3</v>
      </c>
    </row>
    <row r="141" spans="3:7" x14ac:dyDescent="0.3">
      <c r="C141" t="s">
        <v>19</v>
      </c>
      <c r="D141" t="str">
        <v>Print</v>
      </c>
      <c r="E141">
        <v>6</v>
      </c>
      <c r="F141" s="18">
        <v>2473.5</v>
      </c>
      <c r="G141" s="16">
        <f t="shared" si="2"/>
        <v>4.3061636199420205E-3</v>
      </c>
    </row>
    <row r="142" spans="3:7" x14ac:dyDescent="0.3">
      <c r="C142" t="s">
        <v>60</v>
      </c>
      <c r="D142" t="str">
        <v>Handwork</v>
      </c>
      <c r="E142">
        <v>2</v>
      </c>
      <c r="F142" s="18">
        <v>1820</v>
      </c>
      <c r="G142" s="16">
        <f t="shared" si="2"/>
        <v>3.16847292835839E-3</v>
      </c>
    </row>
    <row r="143" spans="3:7" x14ac:dyDescent="0.3">
      <c r="C143" t="s">
        <v>61</v>
      </c>
      <c r="D143" t="str">
        <v>Handwork</v>
      </c>
      <c r="E143">
        <v>2</v>
      </c>
      <c r="F143" s="18">
        <v>1820</v>
      </c>
      <c r="G143" s="16">
        <f t="shared" si="2"/>
        <v>3.16847292835839E-3</v>
      </c>
    </row>
    <row r="144" spans="3:7" x14ac:dyDescent="0.3">
      <c r="C144" t="s">
        <v>33</v>
      </c>
      <c r="D144" t="str">
        <v>Print</v>
      </c>
      <c r="E144">
        <v>4</v>
      </c>
      <c r="F144" s="18">
        <v>1707.2</v>
      </c>
      <c r="G144" s="16">
        <f t="shared" si="2"/>
        <v>2.972097243567826E-3</v>
      </c>
    </row>
    <row r="145" spans="3:7" x14ac:dyDescent="0.3">
      <c r="C145" t="s">
        <v>18</v>
      </c>
      <c r="D145" t="str">
        <v>Print</v>
      </c>
      <c r="E145">
        <v>4</v>
      </c>
      <c r="F145" s="18">
        <v>1552</v>
      </c>
      <c r="G145" s="16">
        <f t="shared" si="2"/>
        <v>2.7019065850616602E-3</v>
      </c>
    </row>
    <row r="146" spans="3:7" x14ac:dyDescent="0.3">
      <c r="E146" t="s">
        <v>107</v>
      </c>
      <c r="F146" s="19">
        <f>SUM(F103:F145)</f>
        <v>574409.19999999995</v>
      </c>
    </row>
  </sheetData>
  <sortState xmlns:xlrd2="http://schemas.microsoft.com/office/spreadsheetml/2017/richdata2" ref="C103:F145">
    <sortCondition descending="1" ref="F103:F145"/>
  </sortState>
  <mergeCells count="1">
    <mergeCell ref="B2:H2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BBFC9-3019-41CF-9759-C2BF60340DD8}">
  <dimension ref="C2:H22"/>
  <sheetViews>
    <sheetView zoomScale="86" workbookViewId="0">
      <selection activeCell="H14" sqref="H14"/>
    </sheetView>
  </sheetViews>
  <sheetFormatPr defaultRowHeight="14.4" x14ac:dyDescent="0.3"/>
  <cols>
    <col min="3" max="3" width="12.5546875" bestFit="1" customWidth="1"/>
    <col min="4" max="4" width="20.109375" bestFit="1" customWidth="1"/>
    <col min="5" max="5" width="19.21875" bestFit="1" customWidth="1"/>
    <col min="6" max="6" width="18.5546875" bestFit="1" customWidth="1"/>
    <col min="7" max="7" width="21.77734375" bestFit="1" customWidth="1"/>
    <col min="8" max="8" width="22.88671875" bestFit="1" customWidth="1"/>
  </cols>
  <sheetData>
    <row r="2" spans="3:8" ht="16.8" x14ac:dyDescent="0.3">
      <c r="C2" s="71" t="s">
        <v>120</v>
      </c>
      <c r="D2" s="71"/>
      <c r="E2" s="71"/>
      <c r="F2" s="71"/>
      <c r="G2" s="71"/>
      <c r="H2" s="71"/>
    </row>
    <row r="5" spans="3:8" x14ac:dyDescent="0.3">
      <c r="C5" s="17" t="s">
        <v>115</v>
      </c>
      <c r="D5" s="17" t="s">
        <v>106</v>
      </c>
      <c r="E5" s="17" t="s">
        <v>100</v>
      </c>
      <c r="F5" s="17" t="s">
        <v>116</v>
      </c>
      <c r="G5" s="17" t="s">
        <v>117</v>
      </c>
      <c r="H5" s="17" t="s">
        <v>118</v>
      </c>
    </row>
    <row r="6" spans="3:8" x14ac:dyDescent="0.3">
      <c r="C6" s="30" t="s">
        <v>111</v>
      </c>
      <c r="D6" s="27">
        <v>243</v>
      </c>
      <c r="E6" s="28">
        <v>227945</v>
      </c>
      <c r="F6" s="27">
        <v>23</v>
      </c>
      <c r="G6" s="29">
        <f>E6/F6</f>
        <v>9910.652173913044</v>
      </c>
      <c r="H6" s="25">
        <v>0</v>
      </c>
    </row>
    <row r="7" spans="3:8" x14ac:dyDescent="0.3">
      <c r="C7" s="30" t="s">
        <v>112</v>
      </c>
      <c r="D7" s="27">
        <v>434</v>
      </c>
      <c r="E7" s="28">
        <v>258926.1</v>
      </c>
      <c r="F7" s="27">
        <v>18</v>
      </c>
      <c r="G7" s="29">
        <f t="shared" ref="G7:G8" si="0">E7/F7</f>
        <v>14384.783333333333</v>
      </c>
      <c r="H7" s="69">
        <f>(E7-E6)/E6</f>
        <v>0.13591480400973921</v>
      </c>
    </row>
    <row r="8" spans="3:8" x14ac:dyDescent="0.3">
      <c r="C8" s="30" t="s">
        <v>113</v>
      </c>
      <c r="D8" s="27">
        <v>98</v>
      </c>
      <c r="E8" s="28">
        <v>87538.1</v>
      </c>
      <c r="F8" s="27">
        <v>13</v>
      </c>
      <c r="G8" s="29">
        <f t="shared" si="0"/>
        <v>6733.7000000000007</v>
      </c>
      <c r="H8" s="70">
        <f>(E8-E7)/E7</f>
        <v>-0.66191859376092255</v>
      </c>
    </row>
    <row r="9" spans="3:8" x14ac:dyDescent="0.3">
      <c r="C9" s="17" t="s">
        <v>103</v>
      </c>
      <c r="D9" s="17">
        <v>775</v>
      </c>
      <c r="E9" s="26">
        <v>574409.19999999995</v>
      </c>
      <c r="F9" s="17">
        <v>54</v>
      </c>
      <c r="G9" s="26">
        <f>AVERAGE(G6:G8)</f>
        <v>10343.045169082126</v>
      </c>
      <c r="H9" s="17"/>
    </row>
    <row r="18" spans="3:6" x14ac:dyDescent="0.3">
      <c r="C18" s="7" t="s">
        <v>115</v>
      </c>
      <c r="D18" t="s">
        <v>97</v>
      </c>
      <c r="E18" t="s">
        <v>98</v>
      </c>
      <c r="F18" t="s">
        <v>114</v>
      </c>
    </row>
    <row r="19" spans="3:6" x14ac:dyDescent="0.3">
      <c r="C19" s="8" t="s">
        <v>111</v>
      </c>
      <c r="D19">
        <v>243</v>
      </c>
      <c r="E19">
        <v>227945</v>
      </c>
      <c r="F19">
        <v>23</v>
      </c>
    </row>
    <row r="20" spans="3:6" x14ac:dyDescent="0.3">
      <c r="C20" s="8" t="s">
        <v>112</v>
      </c>
      <c r="D20">
        <v>434</v>
      </c>
      <c r="E20">
        <v>258926.1</v>
      </c>
      <c r="F20">
        <v>18</v>
      </c>
    </row>
    <row r="21" spans="3:6" x14ac:dyDescent="0.3">
      <c r="C21" s="8" t="s">
        <v>113</v>
      </c>
      <c r="D21">
        <v>98</v>
      </c>
      <c r="E21">
        <v>87538.1</v>
      </c>
      <c r="F21">
        <v>13</v>
      </c>
    </row>
    <row r="22" spans="3:6" x14ac:dyDescent="0.3">
      <c r="C22" s="8" t="s">
        <v>16</v>
      </c>
      <c r="D22">
        <v>775</v>
      </c>
      <c r="E22">
        <v>574409.19999999995</v>
      </c>
      <c r="F22">
        <v>54</v>
      </c>
    </row>
  </sheetData>
  <mergeCells count="1">
    <mergeCell ref="C2:H2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AAFDC-E960-4559-A9A4-22ED093404D7}">
  <dimension ref="C2:H99"/>
  <sheetViews>
    <sheetView zoomScale="105" workbookViewId="0">
      <selection activeCell="C12" sqref="C12"/>
    </sheetView>
  </sheetViews>
  <sheetFormatPr defaultRowHeight="14.4" x14ac:dyDescent="0.3"/>
  <cols>
    <col min="3" max="3" width="33.5546875" bestFit="1" customWidth="1"/>
    <col min="4" max="4" width="20.109375" bestFit="1" customWidth="1"/>
    <col min="5" max="5" width="20.77734375" bestFit="1" customWidth="1"/>
    <col min="6" max="6" width="15.88671875" bestFit="1" customWidth="1"/>
    <col min="7" max="7" width="23.33203125" bestFit="1" customWidth="1"/>
    <col min="8" max="8" width="24.5546875" bestFit="1" customWidth="1"/>
    <col min="9" max="9" width="23.33203125" bestFit="1" customWidth="1"/>
    <col min="10" max="10" width="27" bestFit="1" customWidth="1"/>
    <col min="11" max="11" width="26.33203125" bestFit="1" customWidth="1"/>
    <col min="12" max="12" width="23.77734375" bestFit="1" customWidth="1"/>
    <col min="13" max="13" width="14.21875" bestFit="1" customWidth="1"/>
    <col min="14" max="14" width="22.33203125" bestFit="1" customWidth="1"/>
    <col min="15" max="15" width="28.88671875" bestFit="1" customWidth="1"/>
    <col min="16" max="16" width="5.6640625" bestFit="1" customWidth="1"/>
    <col min="17" max="17" width="10.6640625" bestFit="1" customWidth="1"/>
    <col min="18" max="18" width="18.6640625" bestFit="1" customWidth="1"/>
    <col min="19" max="21" width="12.6640625" bestFit="1" customWidth="1"/>
    <col min="22" max="22" width="18.33203125" bestFit="1" customWidth="1"/>
    <col min="23" max="23" width="10.77734375" bestFit="1" customWidth="1"/>
    <col min="24" max="24" width="35" bestFit="1" customWidth="1"/>
    <col min="25" max="25" width="19.109375" bestFit="1" customWidth="1"/>
    <col min="26" max="26" width="23.44140625" bestFit="1" customWidth="1"/>
    <col min="27" max="27" width="17" bestFit="1" customWidth="1"/>
    <col min="28" max="28" width="16.5546875" bestFit="1" customWidth="1"/>
    <col min="29" max="29" width="25" bestFit="1" customWidth="1"/>
    <col min="30" max="30" width="27.88671875" bestFit="1" customWidth="1"/>
    <col min="31" max="31" width="13.21875" bestFit="1" customWidth="1"/>
    <col min="32" max="32" width="22.33203125" bestFit="1" customWidth="1"/>
    <col min="33" max="33" width="28.88671875" bestFit="1" customWidth="1"/>
    <col min="34" max="34" width="5.6640625" bestFit="1" customWidth="1"/>
    <col min="35" max="35" width="10.6640625" bestFit="1" customWidth="1"/>
    <col min="36" max="36" width="18.6640625" bestFit="1" customWidth="1"/>
    <col min="37" max="39" width="12.5546875" bestFit="1" customWidth="1"/>
    <col min="40" max="43" width="11.5546875" bestFit="1" customWidth="1"/>
    <col min="44" max="45" width="18.21875" bestFit="1" customWidth="1"/>
    <col min="46" max="46" width="20.33203125" bestFit="1" customWidth="1"/>
    <col min="47" max="47" width="10.77734375" bestFit="1" customWidth="1"/>
  </cols>
  <sheetData>
    <row r="2" spans="3:8" ht="16.8" x14ac:dyDescent="0.3">
      <c r="C2" s="71" t="s">
        <v>167</v>
      </c>
      <c r="D2" s="71"/>
      <c r="E2" s="71"/>
      <c r="F2" s="71"/>
      <c r="G2" s="71"/>
      <c r="H2" s="71"/>
    </row>
    <row r="4" spans="3:8" x14ac:dyDescent="0.3">
      <c r="C4" t="s">
        <v>160</v>
      </c>
      <c r="D4" t="s">
        <v>159</v>
      </c>
    </row>
    <row r="5" spans="3:8" x14ac:dyDescent="0.3">
      <c r="C5" t="s">
        <v>36</v>
      </c>
      <c r="D5">
        <v>115</v>
      </c>
    </row>
    <row r="6" spans="3:8" x14ac:dyDescent="0.3">
      <c r="C6" t="s">
        <v>42</v>
      </c>
      <c r="D6">
        <v>65</v>
      </c>
    </row>
    <row r="7" spans="3:8" x14ac:dyDescent="0.3">
      <c r="C7" t="s">
        <v>84</v>
      </c>
      <c r="D7">
        <v>55</v>
      </c>
    </row>
    <row r="8" spans="3:8" x14ac:dyDescent="0.3">
      <c r="C8" t="s">
        <v>43</v>
      </c>
      <c r="D8">
        <v>51</v>
      </c>
    </row>
    <row r="9" spans="3:8" x14ac:dyDescent="0.3">
      <c r="C9" t="s">
        <v>28</v>
      </c>
      <c r="D9">
        <v>45</v>
      </c>
    </row>
    <row r="10" spans="3:8" x14ac:dyDescent="0.3">
      <c r="C10" t="s">
        <v>78</v>
      </c>
      <c r="D10">
        <v>43</v>
      </c>
    </row>
    <row r="11" spans="3:8" x14ac:dyDescent="0.3">
      <c r="C11" t="s">
        <v>77</v>
      </c>
      <c r="D11">
        <v>36</v>
      </c>
    </row>
    <row r="12" spans="3:8" x14ac:dyDescent="0.3">
      <c r="C12" t="s">
        <v>38</v>
      </c>
      <c r="D12">
        <v>34</v>
      </c>
    </row>
    <row r="13" spans="3:8" x14ac:dyDescent="0.3">
      <c r="C13" t="s">
        <v>55</v>
      </c>
      <c r="D13">
        <v>32</v>
      </c>
    </row>
    <row r="14" spans="3:8" x14ac:dyDescent="0.3">
      <c r="C14" t="s">
        <v>22</v>
      </c>
      <c r="D14">
        <v>22</v>
      </c>
    </row>
    <row r="15" spans="3:8" x14ac:dyDescent="0.3">
      <c r="C15" t="s">
        <v>29</v>
      </c>
      <c r="D15">
        <v>20</v>
      </c>
    </row>
    <row r="16" spans="3:8" x14ac:dyDescent="0.3">
      <c r="C16" t="s">
        <v>47</v>
      </c>
      <c r="D16">
        <v>18</v>
      </c>
    </row>
    <row r="17" spans="3:4" x14ac:dyDescent="0.3">
      <c r="C17" t="s">
        <v>53</v>
      </c>
      <c r="D17">
        <v>17</v>
      </c>
    </row>
    <row r="18" spans="3:4" x14ac:dyDescent="0.3">
      <c r="C18" t="s">
        <v>20</v>
      </c>
      <c r="D18">
        <v>16</v>
      </c>
    </row>
    <row r="19" spans="3:4" x14ac:dyDescent="0.3">
      <c r="C19" t="s">
        <v>37</v>
      </c>
      <c r="D19">
        <v>15</v>
      </c>
    </row>
    <row r="20" spans="3:4" x14ac:dyDescent="0.3">
      <c r="C20" t="s">
        <v>81</v>
      </c>
      <c r="D20">
        <v>14</v>
      </c>
    </row>
    <row r="21" spans="3:4" x14ac:dyDescent="0.3">
      <c r="C21" t="s">
        <v>44</v>
      </c>
      <c r="D21">
        <v>14</v>
      </c>
    </row>
    <row r="22" spans="3:4" x14ac:dyDescent="0.3">
      <c r="C22" t="s">
        <v>51</v>
      </c>
      <c r="D22">
        <v>14</v>
      </c>
    </row>
    <row r="23" spans="3:4" x14ac:dyDescent="0.3">
      <c r="C23" t="s">
        <v>40</v>
      </c>
      <c r="D23">
        <v>13</v>
      </c>
    </row>
    <row r="24" spans="3:4" x14ac:dyDescent="0.3">
      <c r="C24" t="s">
        <v>66</v>
      </c>
      <c r="D24">
        <v>13</v>
      </c>
    </row>
    <row r="25" spans="3:4" x14ac:dyDescent="0.3">
      <c r="C25" t="s">
        <v>39</v>
      </c>
      <c r="D25">
        <v>10</v>
      </c>
    </row>
    <row r="26" spans="3:4" x14ac:dyDescent="0.3">
      <c r="C26" t="s">
        <v>56</v>
      </c>
      <c r="D26">
        <v>10</v>
      </c>
    </row>
    <row r="27" spans="3:4" x14ac:dyDescent="0.3">
      <c r="C27" t="s">
        <v>27</v>
      </c>
      <c r="D27">
        <v>9</v>
      </c>
    </row>
    <row r="28" spans="3:4" x14ac:dyDescent="0.3">
      <c r="C28" t="s">
        <v>67</v>
      </c>
      <c r="D28">
        <v>8</v>
      </c>
    </row>
    <row r="29" spans="3:4" x14ac:dyDescent="0.3">
      <c r="C29" t="s">
        <v>82</v>
      </c>
      <c r="D29">
        <v>7</v>
      </c>
    </row>
    <row r="30" spans="3:4" x14ac:dyDescent="0.3">
      <c r="C30" t="s">
        <v>83</v>
      </c>
      <c r="D30">
        <v>7</v>
      </c>
    </row>
    <row r="31" spans="3:4" x14ac:dyDescent="0.3">
      <c r="C31" t="s">
        <v>13</v>
      </c>
      <c r="D31">
        <v>7</v>
      </c>
    </row>
    <row r="32" spans="3:4" x14ac:dyDescent="0.3">
      <c r="C32" t="s">
        <v>19</v>
      </c>
      <c r="D32">
        <v>6</v>
      </c>
    </row>
    <row r="33" spans="3:4" x14ac:dyDescent="0.3">
      <c r="C33" t="s">
        <v>79</v>
      </c>
      <c r="D33">
        <v>5</v>
      </c>
    </row>
    <row r="34" spans="3:4" x14ac:dyDescent="0.3">
      <c r="C34" t="s">
        <v>62</v>
      </c>
      <c r="D34">
        <v>5</v>
      </c>
    </row>
    <row r="35" spans="3:4" x14ac:dyDescent="0.3">
      <c r="C35" t="s">
        <v>58</v>
      </c>
      <c r="D35">
        <v>5</v>
      </c>
    </row>
    <row r="36" spans="3:4" x14ac:dyDescent="0.3">
      <c r="C36" t="s">
        <v>57</v>
      </c>
      <c r="D36">
        <v>5</v>
      </c>
    </row>
    <row r="37" spans="3:4" x14ac:dyDescent="0.3">
      <c r="C37" t="s">
        <v>59</v>
      </c>
      <c r="D37">
        <v>5</v>
      </c>
    </row>
    <row r="38" spans="3:4" x14ac:dyDescent="0.3">
      <c r="C38" t="s">
        <v>80</v>
      </c>
      <c r="D38">
        <v>5</v>
      </c>
    </row>
    <row r="39" spans="3:4" x14ac:dyDescent="0.3">
      <c r="C39" t="s">
        <v>23</v>
      </c>
      <c r="D39">
        <v>4</v>
      </c>
    </row>
    <row r="40" spans="3:4" x14ac:dyDescent="0.3">
      <c r="C40" t="s">
        <v>18</v>
      </c>
      <c r="D40">
        <v>4</v>
      </c>
    </row>
    <row r="41" spans="3:4" x14ac:dyDescent="0.3">
      <c r="C41" t="s">
        <v>33</v>
      </c>
      <c r="D41">
        <v>4</v>
      </c>
    </row>
    <row r="42" spans="3:4" x14ac:dyDescent="0.3">
      <c r="C42" t="s">
        <v>26</v>
      </c>
      <c r="D42">
        <v>4</v>
      </c>
    </row>
    <row r="43" spans="3:4" x14ac:dyDescent="0.3">
      <c r="C43" t="s">
        <v>21</v>
      </c>
      <c r="D43">
        <v>3</v>
      </c>
    </row>
    <row r="44" spans="3:4" x14ac:dyDescent="0.3">
      <c r="C44" t="s">
        <v>64</v>
      </c>
      <c r="D44">
        <v>3</v>
      </c>
    </row>
    <row r="45" spans="3:4" x14ac:dyDescent="0.3">
      <c r="C45" t="s">
        <v>65</v>
      </c>
      <c r="D45">
        <v>3</v>
      </c>
    </row>
    <row r="46" spans="3:4" x14ac:dyDescent="0.3">
      <c r="C46" t="s">
        <v>60</v>
      </c>
      <c r="D46">
        <v>2</v>
      </c>
    </row>
    <row r="47" spans="3:4" x14ac:dyDescent="0.3">
      <c r="C47" t="s">
        <v>61</v>
      </c>
      <c r="D47">
        <v>2</v>
      </c>
    </row>
    <row r="48" spans="3:4" x14ac:dyDescent="0.3">
      <c r="C48" t="s">
        <v>161</v>
      </c>
      <c r="D48">
        <v>775</v>
      </c>
    </row>
    <row r="55" spans="3:4" x14ac:dyDescent="0.3">
      <c r="C55" s="7" t="s">
        <v>85</v>
      </c>
      <c r="D55" t="s">
        <v>95</v>
      </c>
    </row>
    <row r="56" spans="3:4" x14ac:dyDescent="0.3">
      <c r="C56" s="8" t="s">
        <v>79</v>
      </c>
      <c r="D56">
        <v>5</v>
      </c>
    </row>
    <row r="57" spans="3:4" x14ac:dyDescent="0.3">
      <c r="C57" s="8" t="s">
        <v>82</v>
      </c>
      <c r="D57">
        <v>7</v>
      </c>
    </row>
    <row r="58" spans="3:4" x14ac:dyDescent="0.3">
      <c r="C58" s="8" t="s">
        <v>81</v>
      </c>
      <c r="D58">
        <v>14</v>
      </c>
    </row>
    <row r="59" spans="3:4" x14ac:dyDescent="0.3">
      <c r="C59" s="8" t="s">
        <v>83</v>
      </c>
      <c r="D59">
        <v>7</v>
      </c>
    </row>
    <row r="60" spans="3:4" x14ac:dyDescent="0.3">
      <c r="C60" s="8" t="s">
        <v>20</v>
      </c>
      <c r="D60">
        <v>16</v>
      </c>
    </row>
    <row r="61" spans="3:4" x14ac:dyDescent="0.3">
      <c r="C61" s="8" t="s">
        <v>44</v>
      </c>
      <c r="D61">
        <v>14</v>
      </c>
    </row>
    <row r="62" spans="3:4" x14ac:dyDescent="0.3">
      <c r="C62" s="8" t="s">
        <v>22</v>
      </c>
      <c r="D62">
        <v>22</v>
      </c>
    </row>
    <row r="63" spans="3:4" x14ac:dyDescent="0.3">
      <c r="C63" s="8" t="s">
        <v>21</v>
      </c>
      <c r="D63">
        <v>3</v>
      </c>
    </row>
    <row r="64" spans="3:4" x14ac:dyDescent="0.3">
      <c r="C64" s="8" t="s">
        <v>23</v>
      </c>
      <c r="D64">
        <v>4</v>
      </c>
    </row>
    <row r="65" spans="3:4" x14ac:dyDescent="0.3">
      <c r="C65" s="8" t="s">
        <v>62</v>
      </c>
      <c r="D65">
        <v>5</v>
      </c>
    </row>
    <row r="66" spans="3:4" x14ac:dyDescent="0.3">
      <c r="C66" s="8" t="s">
        <v>58</v>
      </c>
      <c r="D66">
        <v>5</v>
      </c>
    </row>
    <row r="67" spans="3:4" x14ac:dyDescent="0.3">
      <c r="C67" s="8" t="s">
        <v>60</v>
      </c>
      <c r="D67">
        <v>2</v>
      </c>
    </row>
    <row r="68" spans="3:4" x14ac:dyDescent="0.3">
      <c r="C68" s="8" t="s">
        <v>57</v>
      </c>
      <c r="D68">
        <v>5</v>
      </c>
    </row>
    <row r="69" spans="3:4" x14ac:dyDescent="0.3">
      <c r="C69" s="8" t="s">
        <v>59</v>
      </c>
      <c r="D69">
        <v>5</v>
      </c>
    </row>
    <row r="70" spans="3:4" x14ac:dyDescent="0.3">
      <c r="C70" s="8" t="s">
        <v>61</v>
      </c>
      <c r="D70">
        <v>2</v>
      </c>
    </row>
    <row r="71" spans="3:4" x14ac:dyDescent="0.3">
      <c r="C71" s="8" t="s">
        <v>42</v>
      </c>
      <c r="D71">
        <v>65</v>
      </c>
    </row>
    <row r="72" spans="3:4" x14ac:dyDescent="0.3">
      <c r="C72" s="8" t="s">
        <v>43</v>
      </c>
      <c r="D72">
        <v>51</v>
      </c>
    </row>
    <row r="73" spans="3:4" x14ac:dyDescent="0.3">
      <c r="C73" s="8" t="s">
        <v>84</v>
      </c>
      <c r="D73">
        <v>55</v>
      </c>
    </row>
    <row r="74" spans="3:4" x14ac:dyDescent="0.3">
      <c r="C74" s="8" t="s">
        <v>36</v>
      </c>
      <c r="D74">
        <v>115</v>
      </c>
    </row>
    <row r="75" spans="3:4" x14ac:dyDescent="0.3">
      <c r="C75" s="8" t="s">
        <v>38</v>
      </c>
      <c r="D75">
        <v>34</v>
      </c>
    </row>
    <row r="76" spans="3:4" x14ac:dyDescent="0.3">
      <c r="C76" s="8" t="s">
        <v>39</v>
      </c>
      <c r="D76">
        <v>10</v>
      </c>
    </row>
    <row r="77" spans="3:4" x14ac:dyDescent="0.3">
      <c r="C77" s="8" t="s">
        <v>19</v>
      </c>
      <c r="D77">
        <v>6</v>
      </c>
    </row>
    <row r="78" spans="3:4" x14ac:dyDescent="0.3">
      <c r="C78" s="8" t="s">
        <v>18</v>
      </c>
      <c r="D78">
        <v>4</v>
      </c>
    </row>
    <row r="79" spans="3:4" x14ac:dyDescent="0.3">
      <c r="C79" s="8" t="s">
        <v>13</v>
      </c>
      <c r="D79">
        <v>7</v>
      </c>
    </row>
    <row r="80" spans="3:4" x14ac:dyDescent="0.3">
      <c r="C80" s="8" t="s">
        <v>37</v>
      </c>
      <c r="D80">
        <v>15</v>
      </c>
    </row>
    <row r="81" spans="3:4" x14ac:dyDescent="0.3">
      <c r="C81" s="8" t="s">
        <v>33</v>
      </c>
      <c r="D81">
        <v>4</v>
      </c>
    </row>
    <row r="82" spans="3:4" x14ac:dyDescent="0.3">
      <c r="C82" s="8" t="s">
        <v>40</v>
      </c>
      <c r="D82">
        <v>13</v>
      </c>
    </row>
    <row r="83" spans="3:4" x14ac:dyDescent="0.3">
      <c r="C83" s="8" t="s">
        <v>80</v>
      </c>
      <c r="D83">
        <v>5</v>
      </c>
    </row>
    <row r="84" spans="3:4" x14ac:dyDescent="0.3">
      <c r="C84" s="8" t="s">
        <v>56</v>
      </c>
      <c r="D84">
        <v>10</v>
      </c>
    </row>
    <row r="85" spans="3:4" x14ac:dyDescent="0.3">
      <c r="C85" s="8" t="s">
        <v>55</v>
      </c>
      <c r="D85">
        <v>32</v>
      </c>
    </row>
    <row r="86" spans="3:4" x14ac:dyDescent="0.3">
      <c r="C86" s="8" t="s">
        <v>47</v>
      </c>
      <c r="D86">
        <v>18</v>
      </c>
    </row>
    <row r="87" spans="3:4" x14ac:dyDescent="0.3">
      <c r="C87" s="8" t="s">
        <v>78</v>
      </c>
      <c r="D87">
        <v>43</v>
      </c>
    </row>
    <row r="88" spans="3:4" x14ac:dyDescent="0.3">
      <c r="C88" s="8" t="s">
        <v>77</v>
      </c>
      <c r="D88">
        <v>36</v>
      </c>
    </row>
    <row r="89" spans="3:4" x14ac:dyDescent="0.3">
      <c r="C89" s="8" t="s">
        <v>64</v>
      </c>
      <c r="D89">
        <v>3</v>
      </c>
    </row>
    <row r="90" spans="3:4" x14ac:dyDescent="0.3">
      <c r="C90" s="8" t="s">
        <v>65</v>
      </c>
      <c r="D90">
        <v>3</v>
      </c>
    </row>
    <row r="91" spans="3:4" x14ac:dyDescent="0.3">
      <c r="C91" s="8" t="s">
        <v>66</v>
      </c>
      <c r="D91">
        <v>13</v>
      </c>
    </row>
    <row r="92" spans="3:4" x14ac:dyDescent="0.3">
      <c r="C92" s="8" t="s">
        <v>29</v>
      </c>
      <c r="D92">
        <v>20</v>
      </c>
    </row>
    <row r="93" spans="3:4" x14ac:dyDescent="0.3">
      <c r="C93" s="8" t="s">
        <v>26</v>
      </c>
      <c r="D93">
        <v>4</v>
      </c>
    </row>
    <row r="94" spans="3:4" x14ac:dyDescent="0.3">
      <c r="C94" s="8" t="s">
        <v>27</v>
      </c>
      <c r="D94">
        <v>9</v>
      </c>
    </row>
    <row r="95" spans="3:4" x14ac:dyDescent="0.3">
      <c r="C95" s="8" t="s">
        <v>28</v>
      </c>
      <c r="D95">
        <v>45</v>
      </c>
    </row>
    <row r="96" spans="3:4" x14ac:dyDescent="0.3">
      <c r="C96" s="8" t="s">
        <v>67</v>
      </c>
      <c r="D96">
        <v>8</v>
      </c>
    </row>
    <row r="97" spans="3:4" x14ac:dyDescent="0.3">
      <c r="C97" s="8" t="s">
        <v>53</v>
      </c>
      <c r="D97">
        <v>17</v>
      </c>
    </row>
    <row r="98" spans="3:4" x14ac:dyDescent="0.3">
      <c r="C98" s="8" t="s">
        <v>51</v>
      </c>
      <c r="D98">
        <v>14</v>
      </c>
    </row>
    <row r="99" spans="3:4" x14ac:dyDescent="0.3">
      <c r="C99" s="8" t="s">
        <v>16</v>
      </c>
      <c r="D99">
        <v>775</v>
      </c>
    </row>
  </sheetData>
  <sortState xmlns:xlrd2="http://schemas.microsoft.com/office/spreadsheetml/2017/richdata2" ref="C5:D47">
    <sortCondition descending="1" ref="D5:D47"/>
  </sortState>
  <mergeCells count="1">
    <mergeCell ref="C2:H2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93731-06D4-49EF-827D-D52AD9A362B0}">
  <dimension ref="C2:I21"/>
  <sheetViews>
    <sheetView workbookViewId="0">
      <selection activeCell="H6" sqref="H6"/>
    </sheetView>
  </sheetViews>
  <sheetFormatPr defaultRowHeight="14.4" x14ac:dyDescent="0.3"/>
  <cols>
    <col min="3" max="3" width="18.88671875" bestFit="1" customWidth="1"/>
    <col min="4" max="4" width="21.77734375" bestFit="1" customWidth="1"/>
    <col min="5" max="5" width="20.109375" bestFit="1" customWidth="1"/>
    <col min="6" max="6" width="19.21875" bestFit="1" customWidth="1"/>
    <col min="7" max="7" width="18.5546875" bestFit="1" customWidth="1"/>
    <col min="8" max="8" width="18.5546875" customWidth="1"/>
    <col min="9" max="9" width="16.109375" bestFit="1" customWidth="1"/>
  </cols>
  <sheetData>
    <row r="2" spans="3:9" ht="16.8" x14ac:dyDescent="0.3">
      <c r="C2" s="71" t="s">
        <v>123</v>
      </c>
      <c r="D2" s="71"/>
      <c r="E2" s="71"/>
      <c r="F2" s="71"/>
      <c r="G2" s="71"/>
      <c r="H2" s="71"/>
      <c r="I2" s="71"/>
    </row>
    <row r="4" spans="3:9" x14ac:dyDescent="0.3">
      <c r="C4" s="17" t="s">
        <v>121</v>
      </c>
      <c r="D4" s="17" t="s">
        <v>5</v>
      </c>
      <c r="E4" s="17" t="s">
        <v>97</v>
      </c>
      <c r="F4" s="17" t="s">
        <v>98</v>
      </c>
      <c r="G4" s="17" t="s">
        <v>116</v>
      </c>
      <c r="H4" s="17" t="s">
        <v>122</v>
      </c>
      <c r="I4" s="60" t="s">
        <v>168</v>
      </c>
    </row>
    <row r="5" spans="3:9" x14ac:dyDescent="0.3">
      <c r="C5" s="30" t="s">
        <v>75</v>
      </c>
      <c r="D5" s="27" t="s">
        <v>73</v>
      </c>
      <c r="E5" s="32">
        <v>505</v>
      </c>
      <c r="F5" s="46">
        <v>364455</v>
      </c>
      <c r="G5" s="31">
        <v>23</v>
      </c>
      <c r="H5" s="25">
        <f>F5/$F$9</f>
        <v>0.6344867039037676</v>
      </c>
      <c r="I5" s="61" t="s">
        <v>169</v>
      </c>
    </row>
    <row r="6" spans="3:9" x14ac:dyDescent="0.3">
      <c r="C6" s="30" t="s">
        <v>72</v>
      </c>
      <c r="D6" s="27" t="s">
        <v>73</v>
      </c>
      <c r="E6" s="32">
        <v>188</v>
      </c>
      <c r="F6" s="46">
        <v>169515</v>
      </c>
      <c r="G6" s="31">
        <v>18</v>
      </c>
      <c r="H6" s="25">
        <f>F6/$F$9</f>
        <v>0.29511191673113873</v>
      </c>
      <c r="I6" s="62" t="s">
        <v>170</v>
      </c>
    </row>
    <row r="7" spans="3:9" x14ac:dyDescent="0.3">
      <c r="C7" s="30" t="s">
        <v>69</v>
      </c>
      <c r="D7" s="27" t="s">
        <v>70</v>
      </c>
      <c r="E7" s="32">
        <v>42</v>
      </c>
      <c r="F7" s="46">
        <v>23338.1</v>
      </c>
      <c r="G7" s="31">
        <v>9</v>
      </c>
      <c r="H7" s="25">
        <f>F7/$F$9</f>
        <v>4.0629746180945572E-2</v>
      </c>
      <c r="I7" s="63" t="s">
        <v>171</v>
      </c>
    </row>
    <row r="8" spans="3:9" x14ac:dyDescent="0.3">
      <c r="C8" s="30" t="s">
        <v>74</v>
      </c>
      <c r="D8" s="27" t="s">
        <v>73</v>
      </c>
      <c r="E8" s="32">
        <v>40</v>
      </c>
      <c r="F8" s="46">
        <v>17101.099999999999</v>
      </c>
      <c r="G8" s="31">
        <v>4</v>
      </c>
      <c r="H8" s="25">
        <f>F8/$F$9</f>
        <v>2.9771633184148164E-2</v>
      </c>
      <c r="I8" s="63" t="s">
        <v>171</v>
      </c>
    </row>
    <row r="9" spans="3:9" x14ac:dyDescent="0.3">
      <c r="C9" s="17" t="s">
        <v>103</v>
      </c>
      <c r="D9" s="17"/>
      <c r="E9" s="17">
        <v>775</v>
      </c>
      <c r="F9" s="48">
        <v>574409.19999999995</v>
      </c>
      <c r="G9" s="17">
        <v>54</v>
      </c>
      <c r="H9" s="44">
        <v>1</v>
      </c>
      <c r="I9" s="44"/>
    </row>
    <row r="12" spans="3:9" x14ac:dyDescent="0.3">
      <c r="D12" s="64"/>
      <c r="H12" s="64"/>
    </row>
    <row r="16" spans="3:9" x14ac:dyDescent="0.3">
      <c r="C16" s="7" t="s">
        <v>121</v>
      </c>
      <c r="D16" t="s">
        <v>5</v>
      </c>
      <c r="E16" t="s">
        <v>97</v>
      </c>
      <c r="F16" t="s">
        <v>98</v>
      </c>
      <c r="G16" t="s">
        <v>116</v>
      </c>
    </row>
    <row r="17" spans="3:7" x14ac:dyDescent="0.3">
      <c r="C17" s="8" t="s">
        <v>74</v>
      </c>
      <c r="D17">
        <v>4</v>
      </c>
      <c r="E17">
        <v>40</v>
      </c>
      <c r="F17">
        <v>17101.099999999999</v>
      </c>
      <c r="G17">
        <v>4</v>
      </c>
    </row>
    <row r="18" spans="3:7" x14ac:dyDescent="0.3">
      <c r="C18" s="8" t="s">
        <v>75</v>
      </c>
      <c r="D18">
        <v>23</v>
      </c>
      <c r="E18">
        <v>505</v>
      </c>
      <c r="F18">
        <v>364455</v>
      </c>
      <c r="G18">
        <v>23</v>
      </c>
    </row>
    <row r="19" spans="3:7" x14ac:dyDescent="0.3">
      <c r="C19" s="8" t="s">
        <v>69</v>
      </c>
      <c r="D19">
        <v>9</v>
      </c>
      <c r="E19">
        <v>42</v>
      </c>
      <c r="F19">
        <v>23338.1</v>
      </c>
      <c r="G19">
        <v>9</v>
      </c>
    </row>
    <row r="20" spans="3:7" x14ac:dyDescent="0.3">
      <c r="C20" s="8" t="s">
        <v>72</v>
      </c>
      <c r="D20">
        <v>18</v>
      </c>
      <c r="E20">
        <v>188</v>
      </c>
      <c r="F20">
        <v>169515</v>
      </c>
      <c r="G20">
        <v>18</v>
      </c>
    </row>
    <row r="21" spans="3:7" x14ac:dyDescent="0.3">
      <c r="C21" s="8" t="s">
        <v>16</v>
      </c>
      <c r="D21">
        <v>54</v>
      </c>
      <c r="E21">
        <v>775</v>
      </c>
      <c r="F21">
        <v>574409.19999999995</v>
      </c>
      <c r="G21">
        <v>54</v>
      </c>
    </row>
  </sheetData>
  <sortState xmlns:xlrd2="http://schemas.microsoft.com/office/spreadsheetml/2017/richdata2" ref="C5:I9">
    <sortCondition descending="1" ref="I5:I9"/>
  </sortState>
  <mergeCells count="1">
    <mergeCell ref="C2:I2"/>
  </mergeCells>
  <conditionalFormatting sqref="H5:H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:I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553C0-130D-4D9F-AB2D-F2D1D49D2C2F}">
  <dimension ref="A2:K45"/>
  <sheetViews>
    <sheetView topLeftCell="D1" zoomScale="80" workbookViewId="0">
      <selection activeCell="R3" sqref="R3"/>
    </sheetView>
  </sheetViews>
  <sheetFormatPr defaultRowHeight="14.4" x14ac:dyDescent="0.3"/>
  <cols>
    <col min="2" max="2" width="11" customWidth="1"/>
    <col min="3" max="3" width="29.5546875" bestFit="1" customWidth="1"/>
    <col min="4" max="4" width="18.33203125" bestFit="1" customWidth="1"/>
    <col min="5" max="5" width="19.21875" bestFit="1" customWidth="1"/>
    <col min="6" max="6" width="18.33203125" customWidth="1"/>
    <col min="7" max="7" width="13.44140625" customWidth="1"/>
    <col min="8" max="8" width="15.44140625" customWidth="1"/>
    <col min="9" max="9" width="15.44140625" bestFit="1" customWidth="1"/>
    <col min="10" max="10" width="21.44140625" bestFit="1" customWidth="1"/>
    <col min="11" max="11" width="12.77734375" bestFit="1" customWidth="1"/>
  </cols>
  <sheetData>
    <row r="2" spans="2:9" x14ac:dyDescent="0.3">
      <c r="C2" t="s">
        <v>126</v>
      </c>
    </row>
    <row r="4" spans="2:9" ht="16.8" x14ac:dyDescent="0.3">
      <c r="B4" s="71" t="s">
        <v>127</v>
      </c>
      <c r="C4" s="71"/>
      <c r="D4" s="71"/>
      <c r="E4" s="71"/>
      <c r="F4" s="71"/>
      <c r="G4" s="71"/>
      <c r="H4" s="71"/>
    </row>
    <row r="6" spans="2:9" x14ac:dyDescent="0.3">
      <c r="B6" s="17" t="s">
        <v>94</v>
      </c>
      <c r="C6" s="17" t="s">
        <v>128</v>
      </c>
      <c r="D6" s="17" t="s">
        <v>129</v>
      </c>
      <c r="E6" s="17" t="s">
        <v>132</v>
      </c>
      <c r="F6" s="17" t="s">
        <v>133</v>
      </c>
      <c r="G6" s="17" t="s">
        <v>134</v>
      </c>
      <c r="H6" s="50" t="s">
        <v>166</v>
      </c>
      <c r="I6" s="50" t="s">
        <v>172</v>
      </c>
    </row>
    <row r="7" spans="2:9" x14ac:dyDescent="0.3">
      <c r="B7" s="30" t="s">
        <v>90</v>
      </c>
      <c r="C7" s="27">
        <v>290</v>
      </c>
      <c r="D7" s="47">
        <v>349</v>
      </c>
      <c r="E7" s="45">
        <v>174273.25</v>
      </c>
      <c r="F7" s="45">
        <v>209475.1</v>
      </c>
      <c r="G7" s="46">
        <f>F7-E7</f>
        <v>35201.850000000006</v>
      </c>
      <c r="H7" s="51">
        <f>G7/F7</f>
        <v>0.16804789686220464</v>
      </c>
      <c r="I7">
        <v>59</v>
      </c>
    </row>
    <row r="8" spans="2:9" x14ac:dyDescent="0.3">
      <c r="B8" s="30" t="s">
        <v>88</v>
      </c>
      <c r="C8" s="27">
        <v>113</v>
      </c>
      <c r="D8" s="47">
        <v>141</v>
      </c>
      <c r="E8" s="45">
        <v>157110</v>
      </c>
      <c r="F8" s="45">
        <v>174900</v>
      </c>
      <c r="G8" s="46">
        <f t="shared" ref="G8:G11" si="0">F8-E8</f>
        <v>17790</v>
      </c>
      <c r="H8" s="51">
        <f t="shared" ref="H8:H12" si="1">G8/F8</f>
        <v>0.10171526586620926</v>
      </c>
      <c r="I8">
        <v>28</v>
      </c>
    </row>
    <row r="9" spans="2:9" x14ac:dyDescent="0.3">
      <c r="B9" s="30" t="s">
        <v>87</v>
      </c>
      <c r="C9" s="27">
        <v>229</v>
      </c>
      <c r="D9" s="47">
        <v>237</v>
      </c>
      <c r="E9" s="45">
        <v>143226.75</v>
      </c>
      <c r="F9" s="45">
        <v>157671.6</v>
      </c>
      <c r="G9" s="46">
        <f t="shared" si="0"/>
        <v>14444.850000000006</v>
      </c>
      <c r="H9" s="51">
        <f t="shared" si="1"/>
        <v>9.1613518223954124E-2</v>
      </c>
      <c r="I9">
        <v>8</v>
      </c>
    </row>
    <row r="10" spans="2:9" x14ac:dyDescent="0.3">
      <c r="B10" s="30" t="s">
        <v>89</v>
      </c>
      <c r="C10" s="27">
        <v>38</v>
      </c>
      <c r="D10" s="47">
        <v>38</v>
      </c>
      <c r="E10" s="45">
        <v>26153.5</v>
      </c>
      <c r="F10" s="45">
        <v>27062.5</v>
      </c>
      <c r="G10" s="46">
        <f t="shared" si="0"/>
        <v>909</v>
      </c>
      <c r="H10" s="51">
        <f t="shared" si="1"/>
        <v>3.3588914549653577E-2</v>
      </c>
      <c r="I10">
        <v>0</v>
      </c>
    </row>
    <row r="11" spans="2:9" x14ac:dyDescent="0.3">
      <c r="B11" s="30" t="s">
        <v>91</v>
      </c>
      <c r="C11" s="27">
        <v>10</v>
      </c>
      <c r="D11" s="47">
        <v>10</v>
      </c>
      <c r="E11" s="45">
        <v>5035</v>
      </c>
      <c r="F11" s="45">
        <v>5300</v>
      </c>
      <c r="G11" s="46">
        <f t="shared" si="0"/>
        <v>265</v>
      </c>
      <c r="H11" s="51">
        <f t="shared" si="1"/>
        <v>0.05</v>
      </c>
      <c r="I11">
        <v>0</v>
      </c>
    </row>
    <row r="12" spans="2:9" x14ac:dyDescent="0.3">
      <c r="B12" s="17" t="s">
        <v>107</v>
      </c>
      <c r="C12" s="17">
        <v>680</v>
      </c>
      <c r="D12" s="17">
        <v>775</v>
      </c>
      <c r="E12" s="48">
        <v>505798.5</v>
      </c>
      <c r="F12" s="48">
        <v>574409.19999999995</v>
      </c>
      <c r="G12" s="49">
        <f>SUM(G7:G11)</f>
        <v>68610.700000000012</v>
      </c>
      <c r="H12" s="52">
        <f t="shared" si="1"/>
        <v>0.11944568436577968</v>
      </c>
    </row>
    <row r="16" spans="2:9" ht="16.8" x14ac:dyDescent="0.3">
      <c r="B16" s="71" t="s">
        <v>178</v>
      </c>
      <c r="C16" s="71"/>
      <c r="D16" s="71"/>
      <c r="E16" s="71"/>
      <c r="F16" s="71"/>
      <c r="G16" s="71"/>
    </row>
    <row r="18" spans="1:11" x14ac:dyDescent="0.3">
      <c r="B18" s="17" t="s">
        <v>94</v>
      </c>
      <c r="C18" s="17" t="s">
        <v>132</v>
      </c>
      <c r="D18" s="17" t="s">
        <v>133</v>
      </c>
      <c r="E18" s="17" t="s">
        <v>134</v>
      </c>
      <c r="F18" s="50" t="s">
        <v>166</v>
      </c>
      <c r="G18" s="53" t="s">
        <v>162</v>
      </c>
    </row>
    <row r="19" spans="1:11" x14ac:dyDescent="0.3">
      <c r="B19" s="30" t="s">
        <v>90</v>
      </c>
      <c r="C19" s="45">
        <v>174273.25</v>
      </c>
      <c r="D19" s="45">
        <v>209475.1</v>
      </c>
      <c r="E19" s="46">
        <f>D19-C19</f>
        <v>35201.850000000006</v>
      </c>
      <c r="F19" s="51">
        <f>E19/D19</f>
        <v>0.16804789686220464</v>
      </c>
      <c r="G19" s="54" t="s">
        <v>163</v>
      </c>
    </row>
    <row r="20" spans="1:11" x14ac:dyDescent="0.3">
      <c r="B20" s="30" t="s">
        <v>88</v>
      </c>
      <c r="C20" s="45">
        <v>157110</v>
      </c>
      <c r="D20" s="45">
        <v>174900</v>
      </c>
      <c r="E20" s="46">
        <f t="shared" ref="E20:E23" si="2">D20-C20</f>
        <v>17790</v>
      </c>
      <c r="F20" s="51">
        <f t="shared" ref="F20:F24" si="3">E20/D20</f>
        <v>0.10171526586620926</v>
      </c>
      <c r="G20" s="54" t="s">
        <v>163</v>
      </c>
    </row>
    <row r="21" spans="1:11" x14ac:dyDescent="0.3">
      <c r="B21" s="30" t="s">
        <v>87</v>
      </c>
      <c r="C21" s="45">
        <v>143226.75</v>
      </c>
      <c r="D21" s="45">
        <v>157671.6</v>
      </c>
      <c r="E21" s="46">
        <f t="shared" si="2"/>
        <v>14444.850000000006</v>
      </c>
      <c r="F21" s="51">
        <f t="shared" si="3"/>
        <v>9.1613518223954124E-2</v>
      </c>
      <c r="G21" s="54" t="s">
        <v>163</v>
      </c>
    </row>
    <row r="22" spans="1:11" x14ac:dyDescent="0.3">
      <c r="B22" s="30" t="s">
        <v>89</v>
      </c>
      <c r="C22" s="45">
        <v>26153.5</v>
      </c>
      <c r="D22" s="45">
        <v>27062.5</v>
      </c>
      <c r="E22" s="46">
        <f t="shared" si="2"/>
        <v>909</v>
      </c>
      <c r="F22" s="51">
        <f t="shared" si="3"/>
        <v>3.3588914549653577E-2</v>
      </c>
      <c r="G22" s="55" t="s">
        <v>164</v>
      </c>
    </row>
    <row r="23" spans="1:11" x14ac:dyDescent="0.3">
      <c r="B23" s="30" t="s">
        <v>91</v>
      </c>
      <c r="C23" s="45">
        <v>5035</v>
      </c>
      <c r="D23" s="45">
        <v>5300</v>
      </c>
      <c r="E23" s="46">
        <f t="shared" si="2"/>
        <v>265</v>
      </c>
      <c r="F23" s="51">
        <f t="shared" si="3"/>
        <v>0.05</v>
      </c>
      <c r="G23" s="56" t="s">
        <v>165</v>
      </c>
    </row>
    <row r="24" spans="1:11" x14ac:dyDescent="0.3">
      <c r="B24" s="17" t="s">
        <v>107</v>
      </c>
      <c r="C24" s="48">
        <v>505798.5</v>
      </c>
      <c r="D24" s="48">
        <v>574409.19999999995</v>
      </c>
      <c r="E24" s="49">
        <f>SUM(E19:E23)</f>
        <v>68610.700000000012</v>
      </c>
      <c r="F24" s="52">
        <f t="shared" si="3"/>
        <v>0.11944568436577968</v>
      </c>
      <c r="G24" s="52" t="s">
        <v>119</v>
      </c>
    </row>
    <row r="27" spans="1:11" x14ac:dyDescent="0.3">
      <c r="A27" t="s">
        <v>99</v>
      </c>
    </row>
    <row r="29" spans="1:11" x14ac:dyDescent="0.3">
      <c r="C29" s="7" t="s">
        <v>94</v>
      </c>
      <c r="D29" t="s">
        <v>125</v>
      </c>
      <c r="E29" t="s">
        <v>131</v>
      </c>
      <c r="I29" s="7" t="s">
        <v>94</v>
      </c>
      <c r="J29" t="s">
        <v>124</v>
      </c>
      <c r="K29" t="s">
        <v>130</v>
      </c>
    </row>
    <row r="30" spans="1:11" x14ac:dyDescent="0.3">
      <c r="C30" s="8" t="s">
        <v>89</v>
      </c>
      <c r="D30">
        <v>38</v>
      </c>
      <c r="E30">
        <v>27062.5</v>
      </c>
      <c r="I30" s="8" t="s">
        <v>89</v>
      </c>
      <c r="J30">
        <v>38</v>
      </c>
      <c r="K30">
        <v>26153.5</v>
      </c>
    </row>
    <row r="31" spans="1:11" x14ac:dyDescent="0.3">
      <c r="C31" s="8" t="s">
        <v>87</v>
      </c>
      <c r="D31">
        <v>237</v>
      </c>
      <c r="E31">
        <v>157671.6</v>
      </c>
      <c r="I31" s="8" t="s">
        <v>87</v>
      </c>
      <c r="J31">
        <v>229</v>
      </c>
      <c r="K31">
        <v>143226.75</v>
      </c>
    </row>
    <row r="32" spans="1:11" x14ac:dyDescent="0.3">
      <c r="C32" s="8" t="s">
        <v>88</v>
      </c>
      <c r="D32">
        <v>141</v>
      </c>
      <c r="E32">
        <v>174900</v>
      </c>
      <c r="I32" s="8" t="s">
        <v>88</v>
      </c>
      <c r="J32">
        <v>113</v>
      </c>
      <c r="K32">
        <v>157110</v>
      </c>
    </row>
    <row r="33" spans="3:11" x14ac:dyDescent="0.3">
      <c r="C33" s="8" t="s">
        <v>90</v>
      </c>
      <c r="D33">
        <v>349</v>
      </c>
      <c r="E33">
        <v>209475.1</v>
      </c>
      <c r="I33" s="8" t="s">
        <v>90</v>
      </c>
      <c r="J33">
        <v>290</v>
      </c>
      <c r="K33">
        <v>174273.25</v>
      </c>
    </row>
    <row r="34" spans="3:11" x14ac:dyDescent="0.3">
      <c r="C34" s="8" t="s">
        <v>91</v>
      </c>
      <c r="D34">
        <v>10</v>
      </c>
      <c r="E34">
        <v>5300</v>
      </c>
      <c r="I34" s="8" t="s">
        <v>91</v>
      </c>
      <c r="J34">
        <v>10</v>
      </c>
      <c r="K34">
        <v>5035</v>
      </c>
    </row>
    <row r="35" spans="3:11" x14ac:dyDescent="0.3">
      <c r="C35" s="8" t="s">
        <v>16</v>
      </c>
      <c r="D35">
        <v>775</v>
      </c>
      <c r="E35">
        <v>574409.19999999995</v>
      </c>
      <c r="I35" s="8" t="s">
        <v>16</v>
      </c>
      <c r="J35">
        <v>680</v>
      </c>
      <c r="K35">
        <v>505798.5</v>
      </c>
    </row>
    <row r="39" spans="3:11" x14ac:dyDescent="0.3">
      <c r="C39" s="17" t="s">
        <v>94</v>
      </c>
      <c r="D39" s="17" t="s">
        <v>128</v>
      </c>
      <c r="E39" s="17" t="s">
        <v>129</v>
      </c>
      <c r="F39" s="17" t="s">
        <v>134</v>
      </c>
      <c r="G39" s="65" t="s">
        <v>172</v>
      </c>
    </row>
    <row r="40" spans="3:11" x14ac:dyDescent="0.3">
      <c r="C40" s="30" t="s">
        <v>90</v>
      </c>
      <c r="D40" s="27">
        <v>290</v>
      </c>
      <c r="E40" s="47">
        <v>349</v>
      </c>
      <c r="F40" s="46">
        <f>E40-D40</f>
        <v>59</v>
      </c>
      <c r="G40" s="34">
        <f>E40-D40</f>
        <v>59</v>
      </c>
    </row>
    <row r="41" spans="3:11" x14ac:dyDescent="0.3">
      <c r="C41" s="30" t="s">
        <v>88</v>
      </c>
      <c r="D41" s="27">
        <v>113</v>
      </c>
      <c r="E41" s="47">
        <v>141</v>
      </c>
      <c r="F41" s="46">
        <f t="shared" ref="F41:F44" si="4">E41-D41</f>
        <v>28</v>
      </c>
      <c r="G41" s="34">
        <f t="shared" ref="G41:G45" si="5">E41-D41</f>
        <v>28</v>
      </c>
    </row>
    <row r="42" spans="3:11" x14ac:dyDescent="0.3">
      <c r="C42" s="30" t="s">
        <v>87</v>
      </c>
      <c r="D42" s="27">
        <v>229</v>
      </c>
      <c r="E42" s="47">
        <v>237</v>
      </c>
      <c r="F42" s="46">
        <f t="shared" si="4"/>
        <v>8</v>
      </c>
      <c r="G42" s="34">
        <f t="shared" si="5"/>
        <v>8</v>
      </c>
    </row>
    <row r="43" spans="3:11" x14ac:dyDescent="0.3">
      <c r="C43" s="30" t="s">
        <v>89</v>
      </c>
      <c r="D43" s="27">
        <v>38</v>
      </c>
      <c r="E43" s="47">
        <v>38</v>
      </c>
      <c r="F43" s="46">
        <f t="shared" si="4"/>
        <v>0</v>
      </c>
      <c r="G43" s="34">
        <f t="shared" si="5"/>
        <v>0</v>
      </c>
    </row>
    <row r="44" spans="3:11" x14ac:dyDescent="0.3">
      <c r="C44" s="30" t="s">
        <v>91</v>
      </c>
      <c r="D44" s="27">
        <v>10</v>
      </c>
      <c r="E44" s="47">
        <v>10</v>
      </c>
      <c r="F44" s="46">
        <f t="shared" si="4"/>
        <v>0</v>
      </c>
      <c r="G44" s="34">
        <f t="shared" si="5"/>
        <v>0</v>
      </c>
    </row>
    <row r="45" spans="3:11" x14ac:dyDescent="0.3">
      <c r="C45" s="17" t="s">
        <v>107</v>
      </c>
      <c r="D45" s="17">
        <v>680</v>
      </c>
      <c r="E45" s="17">
        <v>775</v>
      </c>
      <c r="F45" s="49">
        <f>SUM(F40:F44)</f>
        <v>95</v>
      </c>
      <c r="G45" s="34">
        <f t="shared" si="5"/>
        <v>95</v>
      </c>
    </row>
  </sheetData>
  <mergeCells count="2">
    <mergeCell ref="B4:H4"/>
    <mergeCell ref="B16:G16"/>
  </mergeCells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CE96E6-7CCD-405D-B734-F421D39BE1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Purchase</vt:lpstr>
      <vt:lpstr>Sales</vt:lpstr>
      <vt:lpstr>Descriptive Statistics</vt:lpstr>
      <vt:lpstr>Category Analysis</vt:lpstr>
      <vt:lpstr>Product Analysis</vt:lpstr>
      <vt:lpstr>Monthly Trend</vt:lpstr>
      <vt:lpstr>Sales Product Aanalysis </vt:lpstr>
      <vt:lpstr>Customer Analysis</vt:lpstr>
      <vt:lpstr>Purchase vs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kumar</dc:creator>
  <cp:lastModifiedBy>aman kumar</cp:lastModifiedBy>
  <dcterms:created xsi:type="dcterms:W3CDTF">2025-06-05T11:04:52Z</dcterms:created>
  <dcterms:modified xsi:type="dcterms:W3CDTF">2026-05-12T10:07:18Z</dcterms:modified>
</cp:coreProperties>
</file>